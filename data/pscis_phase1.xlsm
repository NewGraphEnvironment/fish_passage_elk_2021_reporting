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95D3D9F1-1998-4F18-B8DF-4184443A05D1}"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87" i="2"/>
  <c r="AM86" i="2"/>
  <c r="AM85" i="2"/>
  <c r="AM84" i="2"/>
  <c r="AM83" i="2"/>
  <c r="AM81" i="2"/>
  <c r="AM79" i="2"/>
  <c r="AM73" i="2"/>
  <c r="AM72" i="2"/>
  <c r="AM66" i="2"/>
  <c r="AM65" i="2"/>
  <c r="AM64" i="2"/>
  <c r="AM63" i="2"/>
  <c r="AM62" i="2"/>
  <c r="AM61" i="2"/>
  <c r="AM56" i="2"/>
  <c r="AM51" i="2"/>
  <c r="AM49" i="2"/>
  <c r="AM48" i="2"/>
  <c r="AM47" i="2"/>
  <c r="AM46" i="2"/>
  <c r="AM45" i="2"/>
  <c r="AM44" i="2"/>
  <c r="AM43" i="2"/>
  <c r="AM41" i="2"/>
  <c r="AM39" i="2"/>
  <c r="AM38" i="2"/>
  <c r="AM37" i="2"/>
  <c r="AM36" i="2"/>
  <c r="AM35" i="2"/>
  <c r="AM33" i="2"/>
  <c r="AM32" i="2"/>
  <c r="AM31" i="2"/>
  <c r="AM30" i="2"/>
  <c r="AM29" i="2"/>
  <c r="AM26"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L5227" i="2" s="1"/>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L57" i="2" s="1"/>
  <c r="AM57" i="2" s="1"/>
  <c r="AG57" i="2"/>
  <c r="AH57" i="2"/>
  <c r="AI57" i="2"/>
  <c r="AJ57" i="2"/>
  <c r="AF58" i="2"/>
  <c r="AK58" i="2" s="1"/>
  <c r="AG58" i="2"/>
  <c r="AH58" i="2"/>
  <c r="AI58" i="2"/>
  <c r="AJ58" i="2"/>
  <c r="AF59" i="2"/>
  <c r="AK59" i="2" s="1"/>
  <c r="AG59" i="2"/>
  <c r="AH59" i="2"/>
  <c r="AI59" i="2"/>
  <c r="AJ59" i="2"/>
  <c r="AF60" i="2"/>
  <c r="AK60" i="2" s="1"/>
  <c r="AL60" i="2" s="1"/>
  <c r="AM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L78" i="2" s="1"/>
  <c r="AM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L89" i="2" s="1"/>
  <c r="AM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L168" i="2" s="1"/>
  <c r="AG168" i="2"/>
  <c r="AH168" i="2"/>
  <c r="AI168" i="2"/>
  <c r="AJ168" i="2"/>
  <c r="AF169" i="2"/>
  <c r="AK169" i="2" s="1"/>
  <c r="AG169" i="2"/>
  <c r="AL169" i="2" s="1"/>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L292" i="2" s="1"/>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L297" i="2" s="1"/>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L324" i="2" s="1"/>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L597" i="2" s="1"/>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L1249" i="2" s="1"/>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L1356" i="2" s="1"/>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L1649" i="2" s="1"/>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I1971" i="2"/>
  <c r="AJ1971" i="2"/>
  <c r="AL1971" i="2" s="1"/>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L2029" i="2" s="1"/>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L2149" i="2" s="1"/>
  <c r="AI2149" i="2"/>
  <c r="AJ2149" i="2"/>
  <c r="AF2150" i="2"/>
  <c r="AK2150" i="2" s="1"/>
  <c r="AG2150" i="2"/>
  <c r="AH2150" i="2"/>
  <c r="AI2150" i="2"/>
  <c r="AJ2150" i="2"/>
  <c r="AF2151" i="2"/>
  <c r="AK2151" i="2" s="1"/>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L2199" i="2" s="1"/>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L2264" i="2" s="1"/>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L2277" i="2" s="1"/>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L2282" i="2" s="1"/>
  <c r="AG2282" i="2"/>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L2314" i="2" s="1"/>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L2384" i="2" s="1"/>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s="1"/>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L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s="1"/>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L2542" i="2" s="1"/>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L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L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L2827" i="2" s="1"/>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s="1"/>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c r="AG3254" i="2"/>
  <c r="AL3254" i="2" s="1"/>
  <c r="AH3254" i="2"/>
  <c r="AI3254" i="2"/>
  <c r="AJ3254" i="2"/>
  <c r="AF3255" i="2"/>
  <c r="AK3255" i="2" s="1"/>
  <c r="AG3255" i="2"/>
  <c r="AL3255" i="2" s="1"/>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G3285" i="2"/>
  <c r="AH3285" i="2"/>
  <c r="AL3285" i="2" s="1"/>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c r="AG3307" i="2"/>
  <c r="AH3307" i="2"/>
  <c r="AI3307" i="2"/>
  <c r="AJ3307" i="2"/>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c r="AF3441" i="2"/>
  <c r="AK3441" i="2" s="1"/>
  <c r="AG3441" i="2"/>
  <c r="AH3441" i="2"/>
  <c r="AI3441" i="2"/>
  <c r="AJ3441" i="2"/>
  <c r="AF3442" i="2"/>
  <c r="AK3442" i="2" s="1"/>
  <c r="AL3442" i="2"/>
  <c r="AG3442" i="2"/>
  <c r="AH3442" i="2"/>
  <c r="AI3442" i="2"/>
  <c r="AJ3442" i="2"/>
  <c r="AF3443" i="2"/>
  <c r="AK3443" i="2"/>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H3465" i="2"/>
  <c r="AI3465" i="2"/>
  <c r="AJ3465" i="2"/>
  <c r="AF3466" i="2"/>
  <c r="AK3466" i="2"/>
  <c r="AG3466" i="2"/>
  <c r="AH3466" i="2"/>
  <c r="AI3466" i="2"/>
  <c r="AJ3466" i="2"/>
  <c r="AF3467" i="2"/>
  <c r="AK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J3493" i="2"/>
  <c r="AF3494" i="2"/>
  <c r="AG3494" i="2"/>
  <c r="AH3494" i="2"/>
  <c r="AI3494" i="2"/>
  <c r="AJ3494" i="2"/>
  <c r="AK3494" i="2"/>
  <c r="AL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I3515" i="2"/>
  <c r="AL3515" i="2" s="1"/>
  <c r="AJ3515" i="2"/>
  <c r="AF3516" i="2"/>
  <c r="AK3516" i="2"/>
  <c r="AL3516" i="2" s="1"/>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L3559" i="2" s="1"/>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L3568" i="2" s="1"/>
  <c r="AI3568" i="2"/>
  <c r="AJ3568" i="2"/>
  <c r="AF3569" i="2"/>
  <c r="AK3569" i="2" s="1"/>
  <c r="AG3569" i="2"/>
  <c r="AH3569" i="2"/>
  <c r="AI3569" i="2"/>
  <c r="AJ3569" i="2"/>
  <c r="AF3570" i="2"/>
  <c r="AK3570" i="2"/>
  <c r="AG3570" i="2"/>
  <c r="AH3570" i="2"/>
  <c r="AI3570" i="2"/>
  <c r="AJ3570" i="2"/>
  <c r="AF3571" i="2"/>
  <c r="AK3571" i="2" s="1"/>
  <c r="AG3571" i="2"/>
  <c r="AH3571" i="2"/>
  <c r="AI3571" i="2"/>
  <c r="AJ3571" i="2"/>
  <c r="AF3572" i="2"/>
  <c r="AK3572" i="2" s="1"/>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L3582" i="2" s="1"/>
  <c r="AG3582" i="2"/>
  <c r="AH3582" i="2"/>
  <c r="AI3582" i="2"/>
  <c r="AJ3582" i="2"/>
  <c r="AF3583" i="2"/>
  <c r="AK3583" i="2" s="1"/>
  <c r="AG3583" i="2"/>
  <c r="AH3583" i="2"/>
  <c r="AI3583" i="2"/>
  <c r="AJ3583" i="2"/>
  <c r="AF3584" i="2"/>
  <c r="AK3584" i="2"/>
  <c r="AG3584" i="2"/>
  <c r="AL3584" i="2" s="1"/>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L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L3601" i="2" s="1"/>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L3627" i="2" s="1"/>
  <c r="AJ3627" i="2"/>
  <c r="AF3628" i="2"/>
  <c r="AK3628" i="2" s="1"/>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L3636" i="2" s="1"/>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L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L3660" i="2" s="1"/>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c r="AG3759" i="2"/>
  <c r="AH3759" i="2"/>
  <c r="AI3759" i="2"/>
  <c r="AJ3759" i="2"/>
  <c r="AF3760" i="2"/>
  <c r="AK3760" i="2" s="1"/>
  <c r="AG3760" i="2"/>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L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L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L3844" i="2" s="1"/>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L3857" i="2" s="1"/>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L3884" i="2" s="1"/>
  <c r="AI3884" i="2"/>
  <c r="AJ3884" i="2"/>
  <c r="AF3885" i="2"/>
  <c r="AK3885" i="2"/>
  <c r="AL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L3915" i="2" s="1"/>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L3927" i="2" s="1"/>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s="1"/>
  <c r="AL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L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L3945" i="2" s="1"/>
  <c r="AG3945" i="2"/>
  <c r="AH3945" i="2"/>
  <c r="AI3945" i="2"/>
  <c r="AJ3945" i="2"/>
  <c r="AF3946" i="2"/>
  <c r="AK3946" i="2"/>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L3987" i="2" s="1"/>
  <c r="AG3987" i="2"/>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L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L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L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L4057" i="2" s="1"/>
  <c r="AJ4057" i="2"/>
  <c r="AF4058" i="2"/>
  <c r="AK4058" i="2" s="1"/>
  <c r="AG4058" i="2"/>
  <c r="AH4058" i="2"/>
  <c r="AI4058" i="2"/>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L4086" i="2" s="1"/>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L4106" i="2" s="1"/>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s="1"/>
  <c r="AG4115" i="2"/>
  <c r="AH4115" i="2"/>
  <c r="AI4115" i="2"/>
  <c r="AJ4115" i="2"/>
  <c r="AF4116" i="2"/>
  <c r="AK4116" i="2" s="1"/>
  <c r="AL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L4122" i="2" s="1"/>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L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F4163" i="2"/>
  <c r="AK4163" i="2" s="1"/>
  <c r="AL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L4170" i="2" s="1"/>
  <c r="AI4170" i="2"/>
  <c r="AJ4170" i="2"/>
  <c r="AF4171" i="2"/>
  <c r="AK4171" i="2" s="1"/>
  <c r="AG4171" i="2"/>
  <c r="AH4171" i="2"/>
  <c r="AI4171" i="2"/>
  <c r="AJ4171" i="2"/>
  <c r="AF4172" i="2"/>
  <c r="AK4172" i="2"/>
  <c r="AG4172" i="2"/>
  <c r="AL4172" i="2" s="1"/>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s="1"/>
  <c r="AL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s="1"/>
  <c r="AG4192" i="2"/>
  <c r="AL4192" i="2" s="1"/>
  <c r="AH4192" i="2"/>
  <c r="AI4192" i="2"/>
  <c r="AJ4192" i="2"/>
  <c r="AF4193" i="2"/>
  <c r="AK4193" i="2"/>
  <c r="AG4193" i="2"/>
  <c r="AH4193" i="2"/>
  <c r="AI4193" i="2"/>
  <c r="AJ4193" i="2"/>
  <c r="AF4194" i="2"/>
  <c r="AK4194" i="2"/>
  <c r="AG4194" i="2"/>
  <c r="AH4194" i="2"/>
  <c r="AL4194" i="2" s="1"/>
  <c r="AI4194" i="2"/>
  <c r="AJ4194" i="2"/>
  <c r="AF4195" i="2"/>
  <c r="AK4195" i="2" s="1"/>
  <c r="AG4195" i="2"/>
  <c r="AH4195" i="2"/>
  <c r="AL4195" i="2" s="1"/>
  <c r="AI4195" i="2"/>
  <c r="AJ4195" i="2"/>
  <c r="AF4196" i="2"/>
  <c r="AK4196" i="2" s="1"/>
  <c r="AG4196" i="2"/>
  <c r="AH4196" i="2"/>
  <c r="AI4196" i="2"/>
  <c r="AJ4196" i="2"/>
  <c r="AF4197" i="2"/>
  <c r="AK4197" i="2"/>
  <c r="AG4197" i="2"/>
  <c r="AH4197" i="2"/>
  <c r="AL4197" i="2" s="1"/>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L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s="1"/>
  <c r="AG4223" i="2"/>
  <c r="AH4223" i="2"/>
  <c r="AI4223" i="2"/>
  <c r="AJ4223" i="2"/>
  <c r="AF4224" i="2"/>
  <c r="AK4224" i="2" s="1"/>
  <c r="AG4224" i="2"/>
  <c r="AH4224" i="2"/>
  <c r="AL4224" i="2" s="1"/>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L4256" i="2" s="1"/>
  <c r="AG4256" i="2"/>
  <c r="AH4256" i="2"/>
  <c r="AI4256" i="2"/>
  <c r="AJ4256" i="2"/>
  <c r="AF4257" i="2"/>
  <c r="AK4257" i="2"/>
  <c r="AG4257" i="2"/>
  <c r="AH4257" i="2"/>
  <c r="AI4257" i="2"/>
  <c r="AJ4257" i="2"/>
  <c r="AF4258" i="2"/>
  <c r="AK4258" i="2" s="1"/>
  <c r="AG4258" i="2"/>
  <c r="AH4258" i="2"/>
  <c r="AI4258" i="2"/>
  <c r="AJ4258" i="2"/>
  <c r="AL4258" i="2" s="1"/>
  <c r="AF4259" i="2"/>
  <c r="AK4259" i="2"/>
  <c r="AG4259" i="2"/>
  <c r="AH4259" i="2"/>
  <c r="AI4259" i="2"/>
  <c r="AJ4259" i="2"/>
  <c r="AF4260" i="2"/>
  <c r="AK4260" i="2"/>
  <c r="AG4260" i="2"/>
  <c r="AL4260" i="2" s="1"/>
  <c r="AH4260" i="2"/>
  <c r="AI4260" i="2"/>
  <c r="AJ4260" i="2"/>
  <c r="AF4261" i="2"/>
  <c r="AK4261" i="2" s="1"/>
  <c r="AL4261" i="2" s="1"/>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I4270" i="2"/>
  <c r="AJ4270" i="2"/>
  <c r="AF4271" i="2"/>
  <c r="AK4271" i="2" s="1"/>
  <c r="AG4271" i="2"/>
  <c r="AH4271" i="2"/>
  <c r="AL4271" i="2" s="1"/>
  <c r="AI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s="1"/>
  <c r="AL4282" i="2" s="1"/>
  <c r="AG4282" i="2"/>
  <c r="AH4282" i="2"/>
  <c r="AI4282" i="2"/>
  <c r="AJ4282" i="2"/>
  <c r="AF4283" i="2"/>
  <c r="AK4283" i="2" s="1"/>
  <c r="AG4283" i="2"/>
  <c r="AH4283" i="2"/>
  <c r="AI4283" i="2"/>
  <c r="AJ4283" i="2"/>
  <c r="AF4284" i="2"/>
  <c r="AK4284" i="2"/>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L4289" i="2" s="1"/>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L4294" i="2" s="1"/>
  <c r="AG4294" i="2"/>
  <c r="AH4294" i="2"/>
  <c r="AI4294" i="2"/>
  <c r="AJ4294" i="2"/>
  <c r="AF4295" i="2"/>
  <c r="AK4295" i="2"/>
  <c r="AG4295" i="2"/>
  <c r="AH4295" i="2"/>
  <c r="AL4295" i="2"/>
  <c r="AI4295" i="2"/>
  <c r="AJ4295" i="2"/>
  <c r="AF4296" i="2"/>
  <c r="AK4296" i="2" s="1"/>
  <c r="AG4296" i="2"/>
  <c r="AL4296" i="2" s="1"/>
  <c r="AH4296" i="2"/>
  <c r="AI4296" i="2"/>
  <c r="AJ4296" i="2"/>
  <c r="AF4297" i="2"/>
  <c r="AK4297" i="2"/>
  <c r="AG4297" i="2"/>
  <c r="AL4297" i="2" s="1"/>
  <c r="AH4297" i="2"/>
  <c r="AI4297" i="2"/>
  <c r="AJ4297" i="2"/>
  <c r="AF4298" i="2"/>
  <c r="AK4298" i="2" s="1"/>
  <c r="AG4298" i="2"/>
  <c r="AH4298" i="2"/>
  <c r="AI4298" i="2"/>
  <c r="AJ4298" i="2"/>
  <c r="AF4299" i="2"/>
  <c r="AK4299" i="2"/>
  <c r="AG4299" i="2"/>
  <c r="AH4299" i="2"/>
  <c r="AL4299" i="2" s="1"/>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c r="AG4305" i="2"/>
  <c r="AH4305" i="2"/>
  <c r="AI4305" i="2"/>
  <c r="AJ4305" i="2"/>
  <c r="AF4306" i="2"/>
  <c r="AK4306" i="2" s="1"/>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s="1"/>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L4323" i="2" s="1"/>
  <c r="AJ4323" i="2"/>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s="1"/>
  <c r="AG4332" i="2"/>
  <c r="AH4332" i="2"/>
  <c r="AI4332" i="2"/>
  <c r="AJ4332" i="2"/>
  <c r="AF4333" i="2"/>
  <c r="AK4333" i="2" s="1"/>
  <c r="AL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L4337" i="2" s="1"/>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L4342" i="2" s="1"/>
  <c r="AG4342" i="2"/>
  <c r="AH4342" i="2"/>
  <c r="AI4342" i="2"/>
  <c r="AJ4342" i="2"/>
  <c r="AF4343" i="2"/>
  <c r="AK4343" i="2" s="1"/>
  <c r="AG4343" i="2"/>
  <c r="AH4343" i="2"/>
  <c r="AI4343" i="2"/>
  <c r="AJ4343" i="2"/>
  <c r="AF4344" i="2"/>
  <c r="AK4344" i="2" s="1"/>
  <c r="AL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L4347" i="2" s="1"/>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L4354" i="2" s="1"/>
  <c r="AG4354" i="2"/>
  <c r="AH4354" i="2"/>
  <c r="AI4354" i="2"/>
  <c r="AJ4354" i="2"/>
  <c r="AF4355" i="2"/>
  <c r="AK4355" i="2"/>
  <c r="AG4355" i="2"/>
  <c r="AH4355" i="2"/>
  <c r="AI4355" i="2"/>
  <c r="AJ4355" i="2"/>
  <c r="AF4356" i="2"/>
  <c r="AK4356" i="2"/>
  <c r="AG4356" i="2"/>
  <c r="AL4356" i="2" s="1"/>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L4372" i="2" s="1"/>
  <c r="AJ4372" i="2"/>
  <c r="AF4373" i="2"/>
  <c r="AK4373" i="2"/>
  <c r="AG4373" i="2"/>
  <c r="AH4373" i="2"/>
  <c r="AL4373" i="2" s="1"/>
  <c r="AI4373" i="2"/>
  <c r="AJ4373" i="2"/>
  <c r="AF4374" i="2"/>
  <c r="AK4374" i="2" s="1"/>
  <c r="AG4374" i="2"/>
  <c r="AH4374" i="2"/>
  <c r="AI4374" i="2"/>
  <c r="AJ4374" i="2"/>
  <c r="AF4375" i="2"/>
  <c r="AK4375" i="2" s="1"/>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L4383" i="2" s="1"/>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H4389" i="2"/>
  <c r="AI4389" i="2"/>
  <c r="AJ4389" i="2"/>
  <c r="AL4389" i="2" s="1"/>
  <c r="AF4390" i="2"/>
  <c r="AK4390" i="2" s="1"/>
  <c r="AG4390" i="2"/>
  <c r="AL4390" i="2" s="1"/>
  <c r="AH4390" i="2"/>
  <c r="AI4390" i="2"/>
  <c r="AJ4390" i="2"/>
  <c r="AF4391" i="2"/>
  <c r="AK4391" i="2"/>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L4397" i="2" s="1"/>
  <c r="AH4397" i="2"/>
  <c r="AI4397" i="2"/>
  <c r="AJ4397" i="2"/>
  <c r="AF4398" i="2"/>
  <c r="AK4398" i="2" s="1"/>
  <c r="AL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L4405" i="2" s="1"/>
  <c r="AG4405" i="2"/>
  <c r="AH4405" i="2"/>
  <c r="AI4405" i="2"/>
  <c r="AJ4405" i="2"/>
  <c r="AF4406" i="2"/>
  <c r="AG4406" i="2"/>
  <c r="AH4406" i="2"/>
  <c r="AI4406" i="2"/>
  <c r="AJ4406" i="2"/>
  <c r="AL4406" i="2"/>
  <c r="AK4406" i="2"/>
  <c r="AF4407" i="2"/>
  <c r="AK4407" i="2"/>
  <c r="AL4407" i="2" s="1"/>
  <c r="AG4407" i="2"/>
  <c r="AH4407" i="2"/>
  <c r="AI4407" i="2"/>
  <c r="AJ4407" i="2"/>
  <c r="AF4408" i="2"/>
  <c r="AK4408" i="2" s="1"/>
  <c r="AG4408" i="2"/>
  <c r="AL4408" i="2" s="1"/>
  <c r="AH4408" i="2"/>
  <c r="AI4408" i="2"/>
  <c r="AJ4408" i="2"/>
  <c r="AF4409" i="2"/>
  <c r="AK4409" i="2" s="1"/>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L4415" i="2" s="1"/>
  <c r="AJ4415" i="2"/>
  <c r="AF4416" i="2"/>
  <c r="AK4416" i="2"/>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c r="AG4426" i="2"/>
  <c r="AH4426" i="2"/>
  <c r="AL4426" i="2" s="1"/>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F4451" i="2"/>
  <c r="AK4451" i="2"/>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L4462" i="2" s="1"/>
  <c r="AI4462" i="2"/>
  <c r="AJ4462" i="2"/>
  <c r="AF4463" i="2"/>
  <c r="AK4463" i="2" s="1"/>
  <c r="AL4463" i="2" s="1"/>
  <c r="AG4463" i="2"/>
  <c r="AH4463" i="2"/>
  <c r="AI4463" i="2"/>
  <c r="AJ4463" i="2"/>
  <c r="AF4464" i="2"/>
  <c r="AK4464" i="2"/>
  <c r="AG4464" i="2"/>
  <c r="AH4464" i="2"/>
  <c r="AI4464" i="2"/>
  <c r="AJ4464" i="2"/>
  <c r="AF4465" i="2"/>
  <c r="AK4465" i="2" s="1"/>
  <c r="AG4465" i="2"/>
  <c r="AH4465" i="2"/>
  <c r="AI4465" i="2"/>
  <c r="AJ4465" i="2"/>
  <c r="AL4465" i="2"/>
  <c r="AF4466" i="2"/>
  <c r="AK4466" i="2"/>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L4471" i="2"/>
  <c r="AH4471" i="2"/>
  <c r="AI4471" i="2"/>
  <c r="AJ4471" i="2"/>
  <c r="AF4472" i="2"/>
  <c r="AK4472" i="2" s="1"/>
  <c r="AG4472" i="2"/>
  <c r="AL4472" i="2" s="1"/>
  <c r="AH4472" i="2"/>
  <c r="AI4472" i="2"/>
  <c r="AJ4472" i="2"/>
  <c r="AF4473" i="2"/>
  <c r="AK4473" i="2"/>
  <c r="AG4473" i="2"/>
  <c r="AH4473" i="2"/>
  <c r="AI4473" i="2"/>
  <c r="AJ4473" i="2"/>
  <c r="AF4474" i="2"/>
  <c r="AK4474" i="2" s="1"/>
  <c r="AG4474" i="2"/>
  <c r="AH4474" i="2"/>
  <c r="AI4474" i="2"/>
  <c r="AJ4474" i="2"/>
  <c r="AL4474" i="2" s="1"/>
  <c r="AF4475" i="2"/>
  <c r="AK4475" i="2"/>
  <c r="AG4475" i="2"/>
  <c r="AL4475" i="2"/>
  <c r="AH4475" i="2"/>
  <c r="AI4475" i="2"/>
  <c r="AJ4475" i="2"/>
  <c r="AF4476" i="2"/>
  <c r="AK4476" i="2"/>
  <c r="AG4476" i="2"/>
  <c r="AH4476" i="2"/>
  <c r="AL4476" i="2" s="1"/>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L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c r="AG4490" i="2"/>
  <c r="AH4490" i="2"/>
  <c r="AI4490" i="2"/>
  <c r="AJ4490" i="2"/>
  <c r="AF4491" i="2"/>
  <c r="AK4491" i="2" s="1"/>
  <c r="AL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L4510" i="2" s="1"/>
  <c r="AI4510" i="2"/>
  <c r="AJ4510" i="2"/>
  <c r="AF4511" i="2"/>
  <c r="AK4511" i="2" s="1"/>
  <c r="AG4511" i="2"/>
  <c r="AH4511" i="2"/>
  <c r="AI4511" i="2"/>
  <c r="AL4511" i="2"/>
  <c r="AJ4511" i="2"/>
  <c r="AF4512" i="2"/>
  <c r="AK4512" i="2"/>
  <c r="AG4512" i="2"/>
  <c r="AH4512" i="2"/>
  <c r="AI4512" i="2"/>
  <c r="AJ4512" i="2"/>
  <c r="AF4513" i="2"/>
  <c r="AK4513" i="2"/>
  <c r="AG4513" i="2"/>
  <c r="AH4513" i="2"/>
  <c r="AI4513" i="2"/>
  <c r="AJ4513" i="2"/>
  <c r="AF4514" i="2"/>
  <c r="AK4514" i="2"/>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L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s="1"/>
  <c r="AG4529" i="2"/>
  <c r="AH4529" i="2"/>
  <c r="AI4529" i="2"/>
  <c r="AJ4529" i="2"/>
  <c r="AF4530" i="2"/>
  <c r="AK4530" i="2" s="1"/>
  <c r="AG4530" i="2"/>
  <c r="AH4530" i="2"/>
  <c r="AL4530" i="2" s="1"/>
  <c r="AI4530" i="2"/>
  <c r="AJ4530" i="2"/>
  <c r="AF4531" i="2"/>
  <c r="AK4531" i="2" s="1"/>
  <c r="AG4531" i="2"/>
  <c r="AH4531" i="2"/>
  <c r="AI4531" i="2"/>
  <c r="AJ4531" i="2"/>
  <c r="AF4532" i="2"/>
  <c r="AK4532" i="2"/>
  <c r="AG4532" i="2"/>
  <c r="AH4532" i="2"/>
  <c r="AI4532" i="2"/>
  <c r="AL4532" i="2" s="1"/>
  <c r="AJ4532" i="2"/>
  <c r="AF4533" i="2"/>
  <c r="AK4533" i="2" s="1"/>
  <c r="AG4533" i="2"/>
  <c r="AH4533" i="2"/>
  <c r="AI4533" i="2"/>
  <c r="AJ4533" i="2"/>
  <c r="AF4534" i="2"/>
  <c r="AK4534" i="2" s="1"/>
  <c r="AG4534" i="2"/>
  <c r="AH4534" i="2"/>
  <c r="AL4534" i="2" s="1"/>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s="1"/>
  <c r="AL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L4559" i="2" s="1"/>
  <c r="AI4559" i="2"/>
  <c r="AJ4559" i="2"/>
  <c r="AF4560" i="2"/>
  <c r="AK4560" i="2" s="1"/>
  <c r="AG4560" i="2"/>
  <c r="AH4560" i="2"/>
  <c r="AI4560" i="2"/>
  <c r="AJ4560" i="2"/>
  <c r="AL4560" i="2" s="1"/>
  <c r="AF4561" i="2"/>
  <c r="AK4561" i="2" s="1"/>
  <c r="AG4561" i="2"/>
  <c r="AH4561" i="2"/>
  <c r="AI4561" i="2"/>
  <c r="AJ4561" i="2"/>
  <c r="AF4562" i="2"/>
  <c r="AK4562" i="2" s="1"/>
  <c r="AG4562" i="2"/>
  <c r="AH4562" i="2"/>
  <c r="AI4562" i="2"/>
  <c r="AJ4562" i="2"/>
  <c r="AF4563" i="2"/>
  <c r="AK4563" i="2" s="1"/>
  <c r="AG4563" i="2"/>
  <c r="AH4563" i="2"/>
  <c r="AI4563" i="2"/>
  <c r="AJ4563" i="2"/>
  <c r="AF4564" i="2"/>
  <c r="AK4564" i="2"/>
  <c r="AL4564" i="2" s="1"/>
  <c r="AG4564" i="2"/>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J4568" i="2"/>
  <c r="AF4569" i="2"/>
  <c r="AK4569" i="2" s="1"/>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J4576" i="2"/>
  <c r="AF4577" i="2"/>
  <c r="AK4577" i="2" s="1"/>
  <c r="AG4577" i="2"/>
  <c r="AH4577" i="2"/>
  <c r="AI4577" i="2"/>
  <c r="AJ4577" i="2"/>
  <c r="AF4578" i="2"/>
  <c r="AK4578" i="2"/>
  <c r="AG4578" i="2"/>
  <c r="AH4578" i="2"/>
  <c r="AI4578" i="2"/>
  <c r="AL4578" i="2" s="1"/>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s="1"/>
  <c r="AG4584" i="2"/>
  <c r="AL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L4589" i="2" s="1"/>
  <c r="AI4589" i="2"/>
  <c r="AJ4589" i="2"/>
  <c r="AF4590" i="2"/>
  <c r="AK4590" i="2" s="1"/>
  <c r="AG4590" i="2"/>
  <c r="AH4590" i="2"/>
  <c r="AL4590" i="2" s="1"/>
  <c r="AI4590" i="2"/>
  <c r="AJ4590" i="2"/>
  <c r="AF4591" i="2"/>
  <c r="AK4591" i="2" s="1"/>
  <c r="AG4591" i="2"/>
  <c r="AH4591" i="2"/>
  <c r="AI4591" i="2"/>
  <c r="AJ4591" i="2"/>
  <c r="AF4592" i="2"/>
  <c r="AK4592" i="2"/>
  <c r="AG4592" i="2"/>
  <c r="AH4592" i="2"/>
  <c r="AI4592" i="2"/>
  <c r="AJ4592" i="2"/>
  <c r="AF4593" i="2"/>
  <c r="AK4593" i="2" s="1"/>
  <c r="AG4593" i="2"/>
  <c r="AH4593" i="2"/>
  <c r="AL4593" i="2" s="1"/>
  <c r="AI4593" i="2"/>
  <c r="AJ4593" i="2"/>
  <c r="AF4594" i="2"/>
  <c r="AK4594" i="2" s="1"/>
  <c r="AG4594" i="2"/>
  <c r="AH4594" i="2"/>
  <c r="AI4594" i="2"/>
  <c r="AJ4594" i="2"/>
  <c r="AF4595" i="2"/>
  <c r="AK4595" i="2"/>
  <c r="AG4595" i="2"/>
  <c r="AH4595" i="2"/>
  <c r="AI4595" i="2"/>
  <c r="AJ4595" i="2"/>
  <c r="AF4596" i="2"/>
  <c r="AK4596" i="2" s="1"/>
  <c r="AL4596" i="2" s="1"/>
  <c r="AG4596" i="2"/>
  <c r="AH4596" i="2"/>
  <c r="AI4596" i="2"/>
  <c r="AJ4596" i="2"/>
  <c r="AF4597" i="2"/>
  <c r="AK4597" i="2"/>
  <c r="AG4597" i="2"/>
  <c r="AH4597" i="2"/>
  <c r="AI4597" i="2"/>
  <c r="AJ4597" i="2"/>
  <c r="AF4598" i="2"/>
  <c r="AK4598" i="2"/>
  <c r="AG4598" i="2"/>
  <c r="AL4598" i="2" s="1"/>
  <c r="AH4598" i="2"/>
  <c r="AI4598" i="2"/>
  <c r="AJ4598" i="2"/>
  <c r="AF4599" i="2"/>
  <c r="AK4599" i="2" s="1"/>
  <c r="AL4599" i="2" s="1"/>
  <c r="AG4599" i="2"/>
  <c r="AH4599" i="2"/>
  <c r="AI4599" i="2"/>
  <c r="AJ4599" i="2"/>
  <c r="AF4600" i="2"/>
  <c r="AK4600" i="2"/>
  <c r="AG4600" i="2"/>
  <c r="AH4600" i="2"/>
  <c r="AI4600" i="2"/>
  <c r="AJ4600" i="2"/>
  <c r="AF4601" i="2"/>
  <c r="AK4601" i="2" s="1"/>
  <c r="AG4601" i="2"/>
  <c r="AH4601" i="2"/>
  <c r="AI4601" i="2"/>
  <c r="AJ4601" i="2"/>
  <c r="AF4602" i="2"/>
  <c r="AK4602" i="2" s="1"/>
  <c r="AG4602" i="2"/>
  <c r="AL4602" i="2"/>
  <c r="AH4602" i="2"/>
  <c r="AI4602" i="2"/>
  <c r="AJ4602" i="2"/>
  <c r="AF4603" i="2"/>
  <c r="AK4603" i="2"/>
  <c r="AG4603" i="2"/>
  <c r="AH4603" i="2"/>
  <c r="AL4603" i="2" s="1"/>
  <c r="AI4603" i="2"/>
  <c r="AJ4603" i="2"/>
  <c r="AF4604" i="2"/>
  <c r="AK4604" i="2"/>
  <c r="AG4604" i="2"/>
  <c r="AH4604" i="2"/>
  <c r="AI4604" i="2"/>
  <c r="AJ4604" i="2"/>
  <c r="AF4605" i="2"/>
  <c r="AK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G4608" i="2"/>
  <c r="AL4608" i="2" s="1"/>
  <c r="AH4608" i="2"/>
  <c r="AI4608" i="2"/>
  <c r="AJ4608" i="2"/>
  <c r="AF4609" i="2"/>
  <c r="AK4609" i="2" s="1"/>
  <c r="AG4609" i="2"/>
  <c r="AH4609" i="2"/>
  <c r="AI4609" i="2"/>
  <c r="AJ4609" i="2"/>
  <c r="AF4610" i="2"/>
  <c r="AK4610" i="2"/>
  <c r="AG4610" i="2"/>
  <c r="AH4610" i="2"/>
  <c r="AI4610" i="2"/>
  <c r="AL4610" i="2" s="1"/>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s="1"/>
  <c r="AG4618" i="2"/>
  <c r="AH4618" i="2"/>
  <c r="AI4618" i="2"/>
  <c r="AJ4618" i="2"/>
  <c r="AF4619" i="2"/>
  <c r="AK4619" i="2"/>
  <c r="AG4619" i="2"/>
  <c r="AH4619" i="2"/>
  <c r="AI4619" i="2"/>
  <c r="AJ4619" i="2"/>
  <c r="AF4620" i="2"/>
  <c r="AK4620" i="2" s="1"/>
  <c r="AG4620" i="2"/>
  <c r="AH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L4625" i="2" s="1"/>
  <c r="AH4625" i="2"/>
  <c r="AI4625" i="2"/>
  <c r="AJ4625" i="2"/>
  <c r="AF4626" i="2"/>
  <c r="AK4626" i="2"/>
  <c r="AG4626" i="2"/>
  <c r="AH4626" i="2"/>
  <c r="AI4626" i="2"/>
  <c r="AJ4626" i="2"/>
  <c r="AL4626" i="2" s="1"/>
  <c r="AF4627" i="2"/>
  <c r="AK4627" i="2" s="1"/>
  <c r="AG4627" i="2"/>
  <c r="AH4627" i="2"/>
  <c r="AI4627" i="2"/>
  <c r="AJ4627" i="2"/>
  <c r="AF4628" i="2"/>
  <c r="AK4628" i="2"/>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L4631" i="2"/>
  <c r="AH4631" i="2"/>
  <c r="AI4631" i="2"/>
  <c r="AJ4631" i="2"/>
  <c r="AF4632" i="2"/>
  <c r="AK4632" i="2"/>
  <c r="AG4632" i="2"/>
  <c r="AH4632" i="2"/>
  <c r="AI4632" i="2"/>
  <c r="AJ4632" i="2"/>
  <c r="AF4633" i="2"/>
  <c r="AK4633" i="2" s="1"/>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L4643" i="2" s="1"/>
  <c r="AJ4643" i="2"/>
  <c r="AF4644" i="2"/>
  <c r="AK4644" i="2" s="1"/>
  <c r="AG4644" i="2"/>
  <c r="AH4644" i="2"/>
  <c r="AI4644" i="2"/>
  <c r="AJ4644" i="2"/>
  <c r="AF4645" i="2"/>
  <c r="AK4645" i="2"/>
  <c r="AG4645" i="2"/>
  <c r="AH4645" i="2"/>
  <c r="AI4645" i="2"/>
  <c r="AJ4645" i="2"/>
  <c r="AL4645" i="2" s="1"/>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c r="AG4652" i="2"/>
  <c r="AL4652" i="2" s="1"/>
  <c r="AH4652" i="2"/>
  <c r="AI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s="1"/>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L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s="1"/>
  <c r="AG4666" i="2"/>
  <c r="AH4666" i="2"/>
  <c r="AI4666" i="2"/>
  <c r="AJ4666" i="2"/>
  <c r="AF4667" i="2"/>
  <c r="AK4667" i="2" s="1"/>
  <c r="AG4667" i="2"/>
  <c r="AH4667" i="2"/>
  <c r="AI4667" i="2"/>
  <c r="AJ4667" i="2"/>
  <c r="AL4667" i="2" s="1"/>
  <c r="AF4668" i="2"/>
  <c r="AK4668" i="2" s="1"/>
  <c r="AG4668" i="2"/>
  <c r="AH4668" i="2"/>
  <c r="AI4668" i="2"/>
  <c r="AJ4668" i="2"/>
  <c r="AF4669" i="2"/>
  <c r="AK4669" i="2"/>
  <c r="AG4669" i="2"/>
  <c r="AL4669" i="2" s="1"/>
  <c r="AH4669" i="2"/>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s="1"/>
  <c r="AG4673" i="2"/>
  <c r="AH4673" i="2"/>
  <c r="AI4673" i="2"/>
  <c r="AJ4673" i="2"/>
  <c r="AF4674" i="2"/>
  <c r="AK4674" i="2"/>
  <c r="AG4674" i="2"/>
  <c r="AH4674" i="2"/>
  <c r="AI4674" i="2"/>
  <c r="AJ4674" i="2"/>
  <c r="AF4675" i="2"/>
  <c r="AK4675" i="2" s="1"/>
  <c r="AG4675" i="2"/>
  <c r="AH4675" i="2"/>
  <c r="AI4675" i="2"/>
  <c r="AJ4675" i="2"/>
  <c r="AF4676" i="2"/>
  <c r="AK4676" i="2"/>
  <c r="AG4676" i="2"/>
  <c r="AH4676" i="2"/>
  <c r="AI4676" i="2"/>
  <c r="AL4676" i="2" s="1"/>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I4681" i="2"/>
  <c r="AL4681" i="2" s="1"/>
  <c r="AJ4681" i="2"/>
  <c r="AF4682" i="2"/>
  <c r="AK4682" i="2"/>
  <c r="AG4682" i="2"/>
  <c r="AH4682" i="2"/>
  <c r="AI4682" i="2"/>
  <c r="AL4682" i="2"/>
  <c r="AJ4682" i="2"/>
  <c r="AF4683" i="2"/>
  <c r="AK4683" i="2" s="1"/>
  <c r="AG4683" i="2"/>
  <c r="AH4683" i="2"/>
  <c r="AI4683" i="2"/>
  <c r="AJ4683" i="2"/>
  <c r="AF4684" i="2"/>
  <c r="AK4684" i="2"/>
  <c r="AG4684" i="2"/>
  <c r="AH4684" i="2"/>
  <c r="AL4684" i="2" s="1"/>
  <c r="AI4684" i="2"/>
  <c r="AJ4684" i="2"/>
  <c r="AF4685" i="2"/>
  <c r="AK4685" i="2"/>
  <c r="AG4685" i="2"/>
  <c r="AL4685" i="2" s="1"/>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G4698" i="2"/>
  <c r="AH4698" i="2"/>
  <c r="AI4698" i="2"/>
  <c r="AJ4698" i="2"/>
  <c r="AF4699" i="2"/>
  <c r="AK4699" i="2" s="1"/>
  <c r="AG4699" i="2"/>
  <c r="AH4699" i="2"/>
  <c r="AI4699" i="2"/>
  <c r="AL4699" i="2" s="1"/>
  <c r="AJ4699" i="2"/>
  <c r="AF4700" i="2"/>
  <c r="AK4700" i="2"/>
  <c r="AG4700" i="2"/>
  <c r="AH4700" i="2"/>
  <c r="AI4700" i="2"/>
  <c r="AJ4700" i="2"/>
  <c r="AF4701" i="2"/>
  <c r="AK4701" i="2" s="1"/>
  <c r="AG4701" i="2"/>
  <c r="AL4701" i="2" s="1"/>
  <c r="AH4701" i="2"/>
  <c r="AI4701" i="2"/>
  <c r="AJ4701" i="2"/>
  <c r="AF4702" i="2"/>
  <c r="AK4702" i="2"/>
  <c r="AG4702" i="2"/>
  <c r="AL4702" i="2"/>
  <c r="AH4702" i="2"/>
  <c r="AI4702" i="2"/>
  <c r="AJ4702" i="2"/>
  <c r="AF4703" i="2"/>
  <c r="AK4703" i="2"/>
  <c r="AG4703" i="2"/>
  <c r="AL4703" i="2" s="1"/>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s="1"/>
  <c r="AG4707" i="2"/>
  <c r="AH4707" i="2"/>
  <c r="AI4707" i="2"/>
  <c r="AJ4707" i="2"/>
  <c r="AF4708" i="2"/>
  <c r="AK4708" i="2" s="1"/>
  <c r="AG4708" i="2"/>
  <c r="AH4708" i="2"/>
  <c r="AI4708" i="2"/>
  <c r="AL4708" i="2" s="1"/>
  <c r="AJ4708" i="2"/>
  <c r="AF4709" i="2"/>
  <c r="AK4709" i="2" s="1"/>
  <c r="AG4709" i="2"/>
  <c r="AL4709" i="2" s="1"/>
  <c r="AH4709" i="2"/>
  <c r="AI4709" i="2"/>
  <c r="AJ4709" i="2"/>
  <c r="AF4710" i="2"/>
  <c r="AK4710" i="2"/>
  <c r="AG4710" i="2"/>
  <c r="AL4710" i="2"/>
  <c r="AH4710" i="2"/>
  <c r="AI4710" i="2"/>
  <c r="AJ4710" i="2"/>
  <c r="AF4711" i="2"/>
  <c r="AK4711" i="2" s="1"/>
  <c r="AG4711" i="2"/>
  <c r="AH4711" i="2"/>
  <c r="AL4711" i="2" s="1"/>
  <c r="AI4711" i="2"/>
  <c r="AJ4711" i="2"/>
  <c r="AF4712" i="2"/>
  <c r="AK4712" i="2"/>
  <c r="AG4712" i="2"/>
  <c r="AL4712" i="2" s="1"/>
  <c r="AH4712" i="2"/>
  <c r="AI4712" i="2"/>
  <c r="AJ4712" i="2"/>
  <c r="AF4713" i="2"/>
  <c r="AK4713" i="2"/>
  <c r="AG4713" i="2"/>
  <c r="AL4713" i="2" s="1"/>
  <c r="AH4713" i="2"/>
  <c r="AI4713" i="2"/>
  <c r="AJ4713" i="2"/>
  <c r="AF4714" i="2"/>
  <c r="AK4714" i="2" s="1"/>
  <c r="AG4714" i="2"/>
  <c r="AL4714" i="2" s="1"/>
  <c r="AH4714" i="2"/>
  <c r="AI4714" i="2"/>
  <c r="AJ4714" i="2"/>
  <c r="AF4715" i="2"/>
  <c r="AK4715" i="2" s="1"/>
  <c r="AG4715" i="2"/>
  <c r="AH4715" i="2"/>
  <c r="AI4715" i="2"/>
  <c r="AJ4715" i="2"/>
  <c r="AF4716" i="2"/>
  <c r="AK4716" i="2" s="1"/>
  <c r="AG4716" i="2"/>
  <c r="AH4716" i="2"/>
  <c r="AI4716" i="2"/>
  <c r="AJ4716" i="2"/>
  <c r="AF4717" i="2"/>
  <c r="AK4717" i="2" s="1"/>
  <c r="AG4717" i="2"/>
  <c r="AH4717" i="2"/>
  <c r="AL4717" i="2" s="1"/>
  <c r="AI4717" i="2"/>
  <c r="AJ4717" i="2"/>
  <c r="AF4718" i="2"/>
  <c r="AK4718" i="2"/>
  <c r="AG4718" i="2"/>
  <c r="AL4718" i="2"/>
  <c r="AH4718" i="2"/>
  <c r="AI4718" i="2"/>
  <c r="AJ4718" i="2"/>
  <c r="AF4719" i="2"/>
  <c r="AK4719" i="2"/>
  <c r="AG4719" i="2"/>
  <c r="AH4719" i="2"/>
  <c r="AI4719" i="2"/>
  <c r="AJ4719" i="2"/>
  <c r="AF4720" i="2"/>
  <c r="AK4720" i="2" s="1"/>
  <c r="AG4720" i="2"/>
  <c r="AH4720" i="2"/>
  <c r="AI4720" i="2"/>
  <c r="AJ4720" i="2"/>
  <c r="AF4721" i="2"/>
  <c r="AK4721" i="2"/>
  <c r="AG4721" i="2"/>
  <c r="AL4721" i="2" s="1"/>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s="1"/>
  <c r="AG4732" i="2"/>
  <c r="AL4732" i="2" s="1"/>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H4738" i="2"/>
  <c r="AL4738" i="2" s="1"/>
  <c r="AI4738" i="2"/>
  <c r="AJ4738" i="2"/>
  <c r="AF4739" i="2"/>
  <c r="AK4739" i="2"/>
  <c r="AG4739" i="2"/>
  <c r="AL4739" i="2"/>
  <c r="AH4739" i="2"/>
  <c r="AI4739" i="2"/>
  <c r="AJ4739" i="2"/>
  <c r="AF4740" i="2"/>
  <c r="AK4740" i="2" s="1"/>
  <c r="AG4740" i="2"/>
  <c r="AL4740" i="2" s="1"/>
  <c r="AH4740" i="2"/>
  <c r="AI4740" i="2"/>
  <c r="AJ4740" i="2"/>
  <c r="AF4741" i="2"/>
  <c r="AK4741" i="2"/>
  <c r="AL4741" i="2" s="1"/>
  <c r="AG4741" i="2"/>
  <c r="AH4741" i="2"/>
  <c r="AI4741" i="2"/>
  <c r="AJ4741" i="2"/>
  <c r="AF4742" i="2"/>
  <c r="AK4742" i="2" s="1"/>
  <c r="AG4742" i="2"/>
  <c r="AH4742" i="2"/>
  <c r="AI4742" i="2"/>
  <c r="AJ4742" i="2"/>
  <c r="AF4743" i="2"/>
  <c r="AK4743" i="2"/>
  <c r="AG4743" i="2"/>
  <c r="AH4743" i="2"/>
  <c r="AI4743" i="2"/>
  <c r="AJ4743" i="2"/>
  <c r="AL4743" i="2" s="1"/>
  <c r="AF4744" i="2"/>
  <c r="AK4744" i="2" s="1"/>
  <c r="AL4744" i="2" s="1"/>
  <c r="AG4744" i="2"/>
  <c r="AH4744" i="2"/>
  <c r="AI4744" i="2"/>
  <c r="AJ4744" i="2"/>
  <c r="AF4745" i="2"/>
  <c r="AK4745" i="2"/>
  <c r="AG4745" i="2"/>
  <c r="AL4745" i="2" s="1"/>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s="1"/>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s="1"/>
  <c r="AL4771" i="2" s="1"/>
  <c r="AG4771" i="2"/>
  <c r="AH4771" i="2"/>
  <c r="AI4771" i="2"/>
  <c r="AJ4771" i="2"/>
  <c r="AF4772" i="2"/>
  <c r="AK4772" i="2" s="1"/>
  <c r="AG4772" i="2"/>
  <c r="AH4772" i="2"/>
  <c r="AI4772" i="2"/>
  <c r="AJ4772" i="2"/>
  <c r="AF4773" i="2"/>
  <c r="AK4773" i="2" s="1"/>
  <c r="AG4773" i="2"/>
  <c r="AH4773" i="2"/>
  <c r="AI4773" i="2"/>
  <c r="AL4773" i="2" s="1"/>
  <c r="AJ4773" i="2"/>
  <c r="AF4774" i="2"/>
  <c r="AK4774" i="2"/>
  <c r="AG4774" i="2"/>
  <c r="AH4774" i="2"/>
  <c r="AL4774" i="2" s="1"/>
  <c r="AI4774" i="2"/>
  <c r="AJ4774" i="2"/>
  <c r="AF4775" i="2"/>
  <c r="AK4775" i="2"/>
  <c r="AL4775" i="2"/>
  <c r="AG4775" i="2"/>
  <c r="AH4775" i="2"/>
  <c r="AI4775" i="2"/>
  <c r="AJ4775" i="2"/>
  <c r="AF4776" i="2"/>
  <c r="AK4776" i="2"/>
  <c r="AG4776" i="2"/>
  <c r="AH4776" i="2"/>
  <c r="AI4776" i="2"/>
  <c r="AJ4776" i="2"/>
  <c r="AL4776" i="2" s="1"/>
  <c r="AF4777" i="2"/>
  <c r="AK4777" i="2" s="1"/>
  <c r="AG4777" i="2"/>
  <c r="AH4777" i="2"/>
  <c r="AI4777" i="2"/>
  <c r="AJ4777" i="2"/>
  <c r="AL4777" i="2" s="1"/>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L4782" i="2" s="1"/>
  <c r="AH4782" i="2"/>
  <c r="AI4782" i="2"/>
  <c r="AJ4782" i="2"/>
  <c r="AF4783" i="2"/>
  <c r="AK4783" i="2"/>
  <c r="AG4783" i="2"/>
  <c r="AL4783" i="2"/>
  <c r="AH4783" i="2"/>
  <c r="AI4783" i="2"/>
  <c r="AJ4783" i="2"/>
  <c r="AF4784" i="2"/>
  <c r="AK4784" i="2"/>
  <c r="AG4784" i="2"/>
  <c r="AL4784" i="2" s="1"/>
  <c r="AH4784" i="2"/>
  <c r="AI4784" i="2"/>
  <c r="AJ4784" i="2"/>
  <c r="AF4785" i="2"/>
  <c r="AK4785" i="2"/>
  <c r="AG4785" i="2"/>
  <c r="AH4785" i="2"/>
  <c r="AI4785" i="2"/>
  <c r="AJ4785" i="2"/>
  <c r="AF4786" i="2"/>
  <c r="AK4786" i="2"/>
  <c r="AG4786" i="2"/>
  <c r="AH4786" i="2"/>
  <c r="AI4786" i="2"/>
  <c r="AJ4786" i="2"/>
  <c r="AF4787" i="2"/>
  <c r="AK4787" i="2"/>
  <c r="AG4787" i="2"/>
  <c r="AH4787" i="2"/>
  <c r="AI4787" i="2"/>
  <c r="AJ4787" i="2"/>
  <c r="AL4787" i="2" s="1"/>
  <c r="AF4788" i="2"/>
  <c r="AK4788" i="2" s="1"/>
  <c r="AG4788" i="2"/>
  <c r="AL4788" i="2" s="1"/>
  <c r="AH4788" i="2"/>
  <c r="AI4788" i="2"/>
  <c r="AJ4788" i="2"/>
  <c r="AF4789" i="2"/>
  <c r="AK4789" i="2" s="1"/>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c r="AL4794" i="2" s="1"/>
  <c r="AG4794" i="2"/>
  <c r="AH4794" i="2"/>
  <c r="AI4794" i="2"/>
  <c r="AJ4794" i="2"/>
  <c r="AF4795" i="2"/>
  <c r="AK4795" i="2"/>
  <c r="AG4795" i="2"/>
  <c r="AH4795" i="2"/>
  <c r="AL4795" i="2" s="1"/>
  <c r="AI4795" i="2"/>
  <c r="AJ4795" i="2"/>
  <c r="AF4796" i="2"/>
  <c r="AK4796" i="2" s="1"/>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s="1"/>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L4815" i="2" s="1"/>
  <c r="AH4815" i="2"/>
  <c r="AI4815" i="2"/>
  <c r="AJ4815" i="2"/>
  <c r="AF4816" i="2"/>
  <c r="AK4816" i="2" s="1"/>
  <c r="AG4816" i="2"/>
  <c r="AL4816" i="2" s="1"/>
  <c r="AH4816" i="2"/>
  <c r="AI4816" i="2"/>
  <c r="AJ4816" i="2"/>
  <c r="AF4817" i="2"/>
  <c r="AK4817" i="2"/>
  <c r="AG4817" i="2"/>
  <c r="AH4817" i="2"/>
  <c r="AI4817" i="2"/>
  <c r="AJ4817" i="2"/>
  <c r="AF4818" i="2"/>
  <c r="AK4818" i="2" s="1"/>
  <c r="AG4818" i="2"/>
  <c r="AL4818" i="2" s="1"/>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J4822" i="2"/>
  <c r="AF4823" i="2"/>
  <c r="AK4823" i="2" s="1"/>
  <c r="AG4823" i="2"/>
  <c r="AL4823" i="2" s="1"/>
  <c r="AH4823" i="2"/>
  <c r="AI4823" i="2"/>
  <c r="AJ4823" i="2"/>
  <c r="AF4824" i="2"/>
  <c r="AK4824" i="2" s="1"/>
  <c r="AG4824" i="2"/>
  <c r="AH4824" i="2"/>
  <c r="AI4824" i="2"/>
  <c r="AJ4824" i="2"/>
  <c r="AF4825" i="2"/>
  <c r="AK4825" i="2"/>
  <c r="AG4825" i="2"/>
  <c r="AH4825" i="2"/>
  <c r="AI4825" i="2"/>
  <c r="AJ4825" i="2"/>
  <c r="AF4826" i="2"/>
  <c r="AK4826" i="2" s="1"/>
  <c r="AG4826" i="2"/>
  <c r="AH4826" i="2"/>
  <c r="AL4826" i="2" s="1"/>
  <c r="AI4826" i="2"/>
  <c r="AJ4826" i="2"/>
  <c r="AF4827" i="2"/>
  <c r="AK4827" i="2" s="1"/>
  <c r="AG4827" i="2"/>
  <c r="AH4827" i="2"/>
  <c r="AI4827" i="2"/>
  <c r="AL4827" i="2" s="1"/>
  <c r="AJ4827" i="2"/>
  <c r="AF4828" i="2"/>
  <c r="AK4828" i="2"/>
  <c r="AG4828" i="2"/>
  <c r="AL4828" i="2" s="1"/>
  <c r="AH4828" i="2"/>
  <c r="AI4828" i="2"/>
  <c r="AJ4828" i="2"/>
  <c r="AF4829" i="2"/>
  <c r="AK4829" i="2"/>
  <c r="AG4829" i="2"/>
  <c r="AL4829" i="2" s="1"/>
  <c r="AH4829" i="2"/>
  <c r="AI4829" i="2"/>
  <c r="AJ4829" i="2"/>
  <c r="AF4830" i="2"/>
  <c r="AK4830" i="2"/>
  <c r="AG4830" i="2"/>
  <c r="AL4830" i="2" s="1"/>
  <c r="AH4830" i="2"/>
  <c r="AI4830" i="2"/>
  <c r="AJ4830" i="2"/>
  <c r="AF4831" i="2"/>
  <c r="AK4831" i="2"/>
  <c r="AG4831" i="2"/>
  <c r="AL4831" i="2" s="1"/>
  <c r="AH4831" i="2"/>
  <c r="AI4831" i="2"/>
  <c r="AJ4831" i="2"/>
  <c r="AF4832" i="2"/>
  <c r="AK4832" i="2" s="1"/>
  <c r="AG4832" i="2"/>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L4839" i="2" s="1"/>
  <c r="AH4839" i="2"/>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G4843" i="2"/>
  <c r="AH4843" i="2"/>
  <c r="AI4843" i="2"/>
  <c r="AJ4843" i="2"/>
  <c r="AL4843" i="2" s="1"/>
  <c r="AF4844" i="2"/>
  <c r="AK4844" i="2" s="1"/>
  <c r="AG4844" i="2"/>
  <c r="AH4844" i="2"/>
  <c r="AL4844" i="2" s="1"/>
  <c r="AI4844" i="2"/>
  <c r="AJ4844" i="2"/>
  <c r="AF4845" i="2"/>
  <c r="AK4845" i="2" s="1"/>
  <c r="AG4845" i="2"/>
  <c r="AH4845" i="2"/>
  <c r="AL4845" i="2" s="1"/>
  <c r="AI4845" i="2"/>
  <c r="AJ4845" i="2"/>
  <c r="AF4846" i="2"/>
  <c r="AK4846" i="2"/>
  <c r="AG4846" i="2"/>
  <c r="AL4846" i="2" s="1"/>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s="1"/>
  <c r="AF4853" i="2"/>
  <c r="AK4853" i="2" s="1"/>
  <c r="AG4853" i="2"/>
  <c r="AH4853" i="2"/>
  <c r="AI4853" i="2"/>
  <c r="AJ4853" i="2"/>
  <c r="AF4854" i="2"/>
  <c r="AK4854" i="2" s="1"/>
  <c r="AG4854" i="2"/>
  <c r="AH4854" i="2"/>
  <c r="AI4854" i="2"/>
  <c r="AJ4854" i="2"/>
  <c r="AF4855" i="2"/>
  <c r="AK4855" i="2"/>
  <c r="AG4855" i="2"/>
  <c r="AL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L4859" i="2" s="1"/>
  <c r="AG4859" i="2"/>
  <c r="AH4859" i="2"/>
  <c r="AI4859" i="2"/>
  <c r="AJ4859" i="2"/>
  <c r="AF4860" i="2"/>
  <c r="AK4860" i="2" s="1"/>
  <c r="AG4860" i="2"/>
  <c r="AH4860" i="2"/>
  <c r="AI4860" i="2"/>
  <c r="AJ4860" i="2"/>
  <c r="AF4861" i="2"/>
  <c r="AK4861" i="2" s="1"/>
  <c r="AG4861" i="2"/>
  <c r="AH4861" i="2"/>
  <c r="AI4861" i="2"/>
  <c r="AJ4861" i="2"/>
  <c r="AL4861" i="2" s="1"/>
  <c r="AF4862" i="2"/>
  <c r="AK4862" i="2" s="1"/>
  <c r="AG4862" i="2"/>
  <c r="AH4862" i="2"/>
  <c r="AL4862" i="2" s="1"/>
  <c r="AI4862" i="2"/>
  <c r="AJ4862" i="2"/>
  <c r="AF4863" i="2"/>
  <c r="AK4863" i="2" s="1"/>
  <c r="AG4863" i="2"/>
  <c r="AH4863" i="2"/>
  <c r="AL4863" i="2"/>
  <c r="AI4863" i="2"/>
  <c r="AJ4863" i="2"/>
  <c r="AF4864" i="2"/>
  <c r="AK4864" i="2"/>
  <c r="AG4864" i="2"/>
  <c r="AL4864" i="2"/>
  <c r="AH4864" i="2"/>
  <c r="AI4864" i="2"/>
  <c r="AJ4864" i="2"/>
  <c r="AF4865" i="2"/>
  <c r="AK4865" i="2"/>
  <c r="AG4865" i="2"/>
  <c r="AL4865" i="2" s="1"/>
  <c r="AH4865" i="2"/>
  <c r="AI4865" i="2"/>
  <c r="AJ4865" i="2"/>
  <c r="AF4866" i="2"/>
  <c r="AK4866" i="2"/>
  <c r="AL4866" i="2" s="1"/>
  <c r="AG4866" i="2"/>
  <c r="AH4866" i="2"/>
  <c r="AI4866" i="2"/>
  <c r="AJ4866" i="2"/>
  <c r="AF4867" i="2"/>
  <c r="AK4867" i="2" s="1"/>
  <c r="AG4867" i="2"/>
  <c r="AH4867" i="2"/>
  <c r="AI4867" i="2"/>
  <c r="AJ4867" i="2"/>
  <c r="AF4868" i="2"/>
  <c r="AK4868" i="2"/>
  <c r="AG4868" i="2"/>
  <c r="AH4868" i="2"/>
  <c r="AL4868" i="2" s="1"/>
  <c r="AI4868" i="2"/>
  <c r="AJ4868" i="2"/>
  <c r="AF4869" i="2"/>
  <c r="AK4869" i="2" s="1"/>
  <c r="AG4869" i="2"/>
  <c r="AH4869" i="2"/>
  <c r="AI4869" i="2"/>
  <c r="AJ4869" i="2"/>
  <c r="AF4870" i="2"/>
  <c r="AK4870" i="2"/>
  <c r="AG4870" i="2"/>
  <c r="AH4870" i="2"/>
  <c r="AL4870" i="2" s="1"/>
  <c r="AI4870" i="2"/>
  <c r="AJ4870" i="2"/>
  <c r="AF4871" i="2"/>
  <c r="AK4871" i="2"/>
  <c r="AG4871" i="2"/>
  <c r="AH4871" i="2"/>
  <c r="AI4871" i="2"/>
  <c r="AJ4871" i="2"/>
  <c r="AF4872" i="2"/>
  <c r="AK4872" i="2"/>
  <c r="AG4872" i="2"/>
  <c r="AL4872" i="2" s="1"/>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L4876" i="2" s="1"/>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c r="AL4886" i="2" s="1"/>
  <c r="AG4886" i="2"/>
  <c r="AH4886" i="2"/>
  <c r="AI4886" i="2"/>
  <c r="AJ4886" i="2"/>
  <c r="AF4887" i="2"/>
  <c r="AK4887" i="2" s="1"/>
  <c r="AG4887" i="2"/>
  <c r="AH4887" i="2"/>
  <c r="AL4887" i="2" s="1"/>
  <c r="AI4887" i="2"/>
  <c r="AJ4887" i="2"/>
  <c r="AF4888" i="2"/>
  <c r="AK4888" i="2"/>
  <c r="AG4888" i="2"/>
  <c r="AH4888" i="2"/>
  <c r="AI4888" i="2"/>
  <c r="AJ4888" i="2"/>
  <c r="AF4889" i="2"/>
  <c r="AK4889" i="2" s="1"/>
  <c r="AG4889" i="2"/>
  <c r="AL4889" i="2" s="1"/>
  <c r="AH4889" i="2"/>
  <c r="AI4889" i="2"/>
  <c r="AJ4889" i="2"/>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I4899" i="2"/>
  <c r="AL4899" i="2"/>
  <c r="AJ4899" i="2"/>
  <c r="AF4900" i="2"/>
  <c r="AK4900" i="2" s="1"/>
  <c r="AL4900" i="2" s="1"/>
  <c r="AG4900" i="2"/>
  <c r="AH4900" i="2"/>
  <c r="AI4900" i="2"/>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c r="AL4909" i="2" s="1"/>
  <c r="AG4909" i="2"/>
  <c r="AH4909" i="2"/>
  <c r="AI4909" i="2"/>
  <c r="AJ4909" i="2"/>
  <c r="AF4910" i="2"/>
  <c r="AK4910" i="2" s="1"/>
  <c r="AG4910" i="2"/>
  <c r="AH4910" i="2"/>
  <c r="AI4910" i="2"/>
  <c r="AJ4910" i="2"/>
  <c r="AF4911" i="2"/>
  <c r="AK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F4918" i="2"/>
  <c r="AK4918" i="2"/>
  <c r="AG4918" i="2"/>
  <c r="AH4918" i="2"/>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L4929" i="2" s="1"/>
  <c r="AF4930" i="2"/>
  <c r="AK4930" i="2" s="1"/>
  <c r="AG4930" i="2"/>
  <c r="AH4930" i="2"/>
  <c r="AL4930" i="2" s="1"/>
  <c r="AI4930" i="2"/>
  <c r="AJ4930" i="2"/>
  <c r="AF4931" i="2"/>
  <c r="AK4931" i="2" s="1"/>
  <c r="AG4931" i="2"/>
  <c r="AH4931" i="2"/>
  <c r="AI4931" i="2"/>
  <c r="AJ4931" i="2"/>
  <c r="AF4932" i="2"/>
  <c r="AK4932" i="2" s="1"/>
  <c r="AG4932" i="2"/>
  <c r="AH4932" i="2"/>
  <c r="AL4932" i="2" s="1"/>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s="1"/>
  <c r="AG4942" i="2"/>
  <c r="AL4942" i="2" s="1"/>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G4954" i="2"/>
  <c r="AL4954" i="2" s="1"/>
  <c r="AH4954" i="2"/>
  <c r="AI4954" i="2"/>
  <c r="AJ4954" i="2"/>
  <c r="AF4955" i="2"/>
  <c r="AK4955" i="2" s="1"/>
  <c r="AL4955" i="2" s="1"/>
  <c r="AG4955" i="2"/>
  <c r="AH4955" i="2"/>
  <c r="AI4955" i="2"/>
  <c r="AJ4955" i="2"/>
  <c r="AF4956" i="2"/>
  <c r="AK4956" i="2" s="1"/>
  <c r="AG4956" i="2"/>
  <c r="AH4956" i="2"/>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s="1"/>
  <c r="AG4960" i="2"/>
  <c r="AH4960" i="2"/>
  <c r="AI4960" i="2"/>
  <c r="AJ4960" i="2"/>
  <c r="AF4961" i="2"/>
  <c r="AK4961" i="2"/>
  <c r="AG4961" i="2"/>
  <c r="AH4961" i="2"/>
  <c r="AI4961" i="2"/>
  <c r="AJ4961" i="2"/>
  <c r="AF4962" i="2"/>
  <c r="AK4962" i="2" s="1"/>
  <c r="AG4962" i="2"/>
  <c r="AH4962" i="2"/>
  <c r="AI4962" i="2"/>
  <c r="AL4962" i="2" s="1"/>
  <c r="AJ4962" i="2"/>
  <c r="AF4963" i="2"/>
  <c r="AK4963" i="2" s="1"/>
  <c r="AG4963" i="2"/>
  <c r="AH4963" i="2"/>
  <c r="AL4963" i="2" s="1"/>
  <c r="AI4963" i="2"/>
  <c r="AJ4963" i="2"/>
  <c r="AF4964" i="2"/>
  <c r="AK4964" i="2"/>
  <c r="AG4964" i="2"/>
  <c r="AH4964" i="2"/>
  <c r="AI4964" i="2"/>
  <c r="AJ4964" i="2"/>
  <c r="AF4965" i="2"/>
  <c r="AK4965" i="2"/>
  <c r="AG4965" i="2"/>
  <c r="AH4965" i="2"/>
  <c r="AI4965" i="2"/>
  <c r="AJ4965" i="2"/>
  <c r="AF4966" i="2"/>
  <c r="AK4966" i="2"/>
  <c r="AG4966" i="2"/>
  <c r="AH4966" i="2"/>
  <c r="AI4966" i="2"/>
  <c r="AJ4966" i="2"/>
  <c r="AF4967" i="2"/>
  <c r="AK4967" i="2"/>
  <c r="AL4967" i="2"/>
  <c r="AG4967" i="2"/>
  <c r="AH4967" i="2"/>
  <c r="AI4967" i="2"/>
  <c r="AJ4967" i="2"/>
  <c r="AF4968" i="2"/>
  <c r="AK4968" i="2"/>
  <c r="AL4968" i="2" s="1"/>
  <c r="AG4968" i="2"/>
  <c r="AH4968" i="2"/>
  <c r="AI4968" i="2"/>
  <c r="AJ4968" i="2"/>
  <c r="AF4969" i="2"/>
  <c r="AK4969" i="2" s="1"/>
  <c r="AG4969" i="2"/>
  <c r="AH4969" i="2"/>
  <c r="AI4969" i="2"/>
  <c r="AJ4969" i="2"/>
  <c r="AF4970" i="2"/>
  <c r="AK4970" i="2" s="1"/>
  <c r="AG4970" i="2"/>
  <c r="AL4970" i="2" s="1"/>
  <c r="AH4970" i="2"/>
  <c r="AI4970" i="2"/>
  <c r="AJ4970" i="2"/>
  <c r="AF4971" i="2"/>
  <c r="AK4971" i="2" s="1"/>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L4976" i="2" s="1"/>
  <c r="AH4976" i="2"/>
  <c r="AI4976" i="2"/>
  <c r="AJ4976" i="2"/>
  <c r="AF4977" i="2"/>
  <c r="AK4977" i="2"/>
  <c r="AG4977" i="2"/>
  <c r="AL4977" i="2" s="1"/>
  <c r="AH4977" i="2"/>
  <c r="AI4977" i="2"/>
  <c r="AJ4977" i="2"/>
  <c r="AF4978" i="2"/>
  <c r="AK4978" i="2"/>
  <c r="AL4978" i="2" s="1"/>
  <c r="AG4978" i="2"/>
  <c r="AH4978" i="2"/>
  <c r="AI4978" i="2"/>
  <c r="AJ4978" i="2"/>
  <c r="AF4979" i="2"/>
  <c r="AK4979" i="2" s="1"/>
  <c r="AG4979" i="2"/>
  <c r="AH4979" i="2"/>
  <c r="AI4979" i="2"/>
  <c r="AJ4979" i="2"/>
  <c r="AF4980" i="2"/>
  <c r="AK4980" i="2" s="1"/>
  <c r="AG4980" i="2"/>
  <c r="AH4980" i="2"/>
  <c r="AI4980" i="2"/>
  <c r="AJ4980" i="2"/>
  <c r="AF4981" i="2"/>
  <c r="AK4981" i="2" s="1"/>
  <c r="AG4981" i="2"/>
  <c r="AH4981" i="2"/>
  <c r="AI4981" i="2"/>
  <c r="AJ4981" i="2"/>
  <c r="AF4982" i="2"/>
  <c r="AK4982" i="2" s="1"/>
  <c r="AG4982" i="2"/>
  <c r="AH4982" i="2"/>
  <c r="AL4982" i="2" s="1"/>
  <c r="AI4982" i="2"/>
  <c r="AJ4982" i="2"/>
  <c r="AF4983" i="2"/>
  <c r="AK4983" i="2"/>
  <c r="AG4983" i="2"/>
  <c r="AH4983" i="2"/>
  <c r="AI4983" i="2"/>
  <c r="AJ4983" i="2"/>
  <c r="AF4984" i="2"/>
  <c r="AK4984" i="2" s="1"/>
  <c r="AG4984" i="2"/>
  <c r="AH4984" i="2"/>
  <c r="AI4984" i="2"/>
  <c r="AJ4984" i="2"/>
  <c r="AF4985" i="2"/>
  <c r="AK4985" i="2"/>
  <c r="AG4985" i="2"/>
  <c r="AH4985" i="2"/>
  <c r="AI4985" i="2"/>
  <c r="AJ4985" i="2"/>
  <c r="AF4986" i="2"/>
  <c r="AK4986" i="2"/>
  <c r="AG4986" i="2"/>
  <c r="AH4986" i="2"/>
  <c r="AL4986" i="2" s="1"/>
  <c r="AI4986" i="2"/>
  <c r="AJ4986" i="2"/>
  <c r="AF4987" i="2"/>
  <c r="AK4987" i="2"/>
  <c r="AG4987" i="2"/>
  <c r="AL4987" i="2" s="1"/>
  <c r="AH4987" i="2"/>
  <c r="AI4987" i="2"/>
  <c r="AJ4987" i="2"/>
  <c r="AF4988" i="2"/>
  <c r="AK4988" i="2"/>
  <c r="AG4988" i="2"/>
  <c r="AL4988" i="2" s="1"/>
  <c r="AH4988" i="2"/>
  <c r="AI4988" i="2"/>
  <c r="AJ4988" i="2"/>
  <c r="AF4989" i="2"/>
  <c r="AK4989" i="2" s="1"/>
  <c r="AG4989" i="2"/>
  <c r="AH4989" i="2"/>
  <c r="AI4989" i="2"/>
  <c r="AJ4989" i="2"/>
  <c r="AF4990" i="2"/>
  <c r="AK4990" i="2" s="1"/>
  <c r="AG4990" i="2"/>
  <c r="AH4990" i="2"/>
  <c r="AI4990" i="2"/>
  <c r="AJ4990" i="2"/>
  <c r="AF4991" i="2"/>
  <c r="AK4991" i="2" s="1"/>
  <c r="AG4991" i="2"/>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00" i="2"/>
  <c r="AL3587" i="2"/>
  <c r="AL3536" i="2"/>
  <c r="AL3512" i="2"/>
  <c r="AL3459" i="2"/>
  <c r="AL3448" i="2"/>
  <c r="AL3395" i="2"/>
  <c r="AL3384" i="2"/>
  <c r="AL3331" i="2"/>
  <c r="AL3267" i="2"/>
  <c r="AL3256" i="2"/>
  <c r="AL3203" i="2"/>
  <c r="AL3192"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52" i="2"/>
  <c r="AL3644" i="2"/>
  <c r="AL3620" i="2"/>
  <c r="AL3612" i="2"/>
  <c r="AL3604" i="2"/>
  <c r="AL3596" i="2"/>
  <c r="AL3588" i="2"/>
  <c r="AL3580" i="2"/>
  <c r="AL3572" i="2"/>
  <c r="AL3556" i="2"/>
  <c r="AL3540"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598" i="2"/>
  <c r="AL3590"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111" i="2"/>
  <c r="AL107" i="2"/>
  <c r="AL103" i="2"/>
  <c r="AL99" i="2"/>
  <c r="AL95" i="2"/>
  <c r="AL156" i="2"/>
  <c r="AL152" i="2"/>
  <c r="AL148" i="2"/>
  <c r="AL144" i="2"/>
  <c r="AL140" i="2"/>
  <c r="AL136" i="2"/>
  <c r="AL132" i="2"/>
  <c r="AL128" i="2"/>
  <c r="AL124" i="2"/>
  <c r="AL120" i="2"/>
  <c r="AL116" i="2"/>
  <c r="AL112" i="2"/>
  <c r="AL108" i="2"/>
  <c r="AL104" i="2"/>
  <c r="AL100" i="2"/>
  <c r="AL96" i="2"/>
  <c r="AL157" i="2"/>
  <c r="AL153" i="2"/>
  <c r="AL149" i="2"/>
  <c r="AL145" i="2"/>
  <c r="AL141" i="2"/>
  <c r="AL137" i="2"/>
  <c r="AL133" i="2"/>
  <c r="AL129" i="2"/>
  <c r="AL125" i="2"/>
  <c r="AL121" i="2"/>
  <c r="AL117" i="2"/>
  <c r="AL113" i="2"/>
  <c r="AL109" i="2"/>
  <c r="AL105" i="2"/>
  <c r="AL101" i="2"/>
  <c r="AL97" i="2"/>
  <c r="AL158" i="2"/>
  <c r="AL154" i="2"/>
  <c r="AL150" i="2"/>
  <c r="AL146" i="2"/>
  <c r="AL142" i="2"/>
  <c r="AL138" i="2"/>
  <c r="AL134" i="2"/>
  <c r="AL130" i="2"/>
  <c r="AL126" i="2"/>
  <c r="AL122" i="2"/>
  <c r="AL118" i="2"/>
  <c r="AL114" i="2"/>
  <c r="AL110" i="2"/>
  <c r="AL106" i="2"/>
  <c r="AL102" i="2"/>
  <c r="AL98" i="2"/>
  <c r="AL94" i="2"/>
  <c r="AL46" i="2"/>
  <c r="AL38" i="2"/>
  <c r="AL30" i="2"/>
  <c r="AL22" i="2"/>
  <c r="AM22" i="2" s="1"/>
  <c r="AL47" i="2"/>
  <c r="AL39" i="2"/>
  <c r="AL31" i="2"/>
  <c r="AL23" i="2"/>
  <c r="AM23" i="2" s="1"/>
  <c r="AL49" i="2"/>
  <c r="AL33" i="2"/>
  <c r="AL25" i="2"/>
  <c r="AM25" i="2" s="1"/>
  <c r="AL51" i="2"/>
  <c r="AL43" i="2"/>
  <c r="AL17" i="2"/>
  <c r="AM17" i="2"/>
  <c r="AL19" i="2"/>
  <c r="AM19" i="2"/>
  <c r="AL18" i="2"/>
  <c r="AM18" i="2"/>
  <c r="AM16" i="2"/>
  <c r="AL15" i="2"/>
  <c r="AM15" i="2"/>
  <c r="AL14" i="2"/>
  <c r="AM14" i="2"/>
  <c r="AL13" i="2"/>
  <c r="AM13" i="2"/>
  <c r="AL12" i="2"/>
  <c r="AM12" i="2" s="1"/>
  <c r="AL4796" i="2"/>
  <c r="AL4943" i="2"/>
  <c r="AL4551" i="2"/>
  <c r="AL4512" i="2"/>
  <c r="AL4351" i="2"/>
  <c r="AL4563" i="2"/>
  <c r="AL4541" i="2"/>
  <c r="AL4509" i="2"/>
  <c r="AL4553" i="2"/>
  <c r="AL4329" i="2"/>
  <c r="AL4268" i="2"/>
  <c r="AL4200" i="2"/>
  <c r="AL4149" i="2"/>
  <c r="AL4136" i="2"/>
  <c r="AL4092" i="2"/>
  <c r="AL4085" i="2"/>
  <c r="AL4062" i="2"/>
  <c r="AL4395" i="2"/>
  <c r="AL4387" i="2"/>
  <c r="AL4293" i="2"/>
  <c r="AL4368" i="2"/>
  <c r="AL4341" i="2"/>
  <c r="AL4331" i="2"/>
  <c r="AL4308" i="2"/>
  <c r="AL4291" i="2"/>
  <c r="AL4239" i="2"/>
  <c r="AL4235" i="2"/>
  <c r="AL4184" i="2"/>
  <c r="AL4175" i="2"/>
  <c r="AL4140" i="2"/>
  <c r="AL4133" i="2"/>
  <c r="AL4120" i="2"/>
  <c r="AL4107" i="2"/>
  <c r="AL4076" i="2"/>
  <c r="AL4064" i="2"/>
  <c r="AL4059" i="2"/>
  <c r="AL4032" i="2"/>
  <c r="AL4027" i="2"/>
  <c r="AL4012" i="2"/>
  <c r="AL3996" i="2"/>
  <c r="AL3980" i="2"/>
  <c r="AL4353" i="2"/>
  <c r="AL4339" i="2"/>
  <c r="AL4312" i="2"/>
  <c r="AL4201" i="2"/>
  <c r="AL4144" i="2"/>
  <c r="AL4137" i="2"/>
  <c r="AL4080" i="2"/>
  <c r="AL4067" i="2"/>
  <c r="AL4049" i="2"/>
  <c r="AL4028" i="2"/>
  <c r="AL4417" i="2"/>
  <c r="AL4392" i="2"/>
  <c r="AL4357" i="2"/>
  <c r="AL4316" i="2"/>
  <c r="AL4305" i="2"/>
  <c r="AL4273" i="2"/>
  <c r="AL4245" i="2"/>
  <c r="AL4232" i="2"/>
  <c r="AL4223"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72" i="2"/>
  <c r="AL3930" i="2"/>
  <c r="AL3926" i="2"/>
  <c r="AL3924" i="2"/>
  <c r="AL3893" i="2"/>
  <c r="AL3849" i="2"/>
  <c r="AL3842" i="2"/>
  <c r="AL3829" i="2"/>
  <c r="AL3822" i="2"/>
  <c r="AL3788" i="2"/>
  <c r="AL3770" i="2"/>
  <c r="AL3766" i="2"/>
  <c r="AL3759" i="2"/>
  <c r="AL3733" i="2"/>
  <c r="AL3719" i="2"/>
  <c r="AL3698" i="2"/>
  <c r="AL3658" i="2"/>
  <c r="AL3471" i="2"/>
  <c r="AL3450" i="2"/>
  <c r="AL3298" i="2"/>
  <c r="AL3946" i="2"/>
  <c r="AL3942" i="2"/>
  <c r="AL3890" i="2"/>
  <c r="AL3767" i="2"/>
  <c r="AL3570" i="2"/>
  <c r="AL3511" i="2"/>
  <c r="AL4058" i="2"/>
  <c r="AL4026" i="2"/>
  <c r="AL3954" i="2"/>
  <c r="AL3913" i="2"/>
  <c r="AL3909" i="2"/>
  <c r="AL3894"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08" i="2"/>
  <c r="AL3865" i="2"/>
  <c r="AL3858" i="2"/>
  <c r="AL3845" i="2"/>
  <c r="AL3838" i="2"/>
  <c r="AL3836" i="2"/>
  <c r="AL3801" i="2"/>
  <c r="AL3784" i="2"/>
  <c r="AL3718" i="2"/>
  <c r="AL3565" i="2"/>
  <c r="AL3362" i="2"/>
  <c r="AL3296" i="2"/>
  <c r="AL3243" i="2"/>
  <c r="AL3199" i="2"/>
  <c r="AL3175" i="2"/>
  <c r="AL4050" i="2"/>
  <c r="AL4034"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44" i="2"/>
  <c r="AL5025" i="2"/>
  <c r="AL5114" i="2"/>
  <c r="AL5220" i="2"/>
  <c r="AL257" i="2"/>
  <c r="AL234" i="2"/>
  <c r="AL227" i="2"/>
  <c r="AL199" i="2"/>
  <c r="AL5204" i="2"/>
  <c r="AL5235" i="2"/>
  <c r="AL5251" i="2"/>
  <c r="AL5283" i="2"/>
  <c r="AL232" i="2"/>
  <c r="AL207" i="2"/>
  <c r="AL200" i="2"/>
  <c r="AL176" i="2"/>
  <c r="AL5017" i="2"/>
  <c r="AL5037" i="2"/>
  <c r="AL5074" i="2"/>
  <c r="AL5150" i="2"/>
  <c r="AL5157" i="2"/>
  <c r="AL5160" i="2"/>
  <c r="AL5165" i="2"/>
  <c r="AL5168" i="2"/>
  <c r="AL5182" i="2"/>
  <c r="AL5189" i="2"/>
  <c r="AL5192" i="2"/>
  <c r="AL5197" i="2"/>
  <c r="AL5222" i="2"/>
  <c r="AL5058" i="2"/>
  <c r="AL197" i="2"/>
  <c r="AL190" i="2"/>
  <c r="AL40" i="2"/>
  <c r="AM40" i="2" s="1"/>
  <c r="AL34" i="2"/>
  <c r="AM34" i="2" s="1"/>
  <c r="AL5070" i="2"/>
  <c r="AL5130" i="2"/>
  <c r="AL241" i="2"/>
  <c r="AL187" i="2"/>
  <c r="AL160" i="2"/>
  <c r="AL5009" i="2"/>
  <c r="AL5029" i="2"/>
  <c r="AL5123" i="2"/>
  <c r="AL222" i="2"/>
  <c r="AL208" i="2"/>
  <c r="AL174" i="2"/>
  <c r="AL5005" i="2"/>
  <c r="AL5049" i="2"/>
  <c r="AL5066" i="2"/>
  <c r="AL5132" i="2"/>
  <c r="AL5158" i="2"/>
  <c r="AL5190" i="2"/>
  <c r="AL4912" i="2"/>
  <c r="AL4759" i="2"/>
  <c r="AL4748" i="2"/>
  <c r="AL4434" i="2"/>
  <c r="AL4933" i="2"/>
  <c r="AL4558" i="2"/>
  <c r="AL4697" i="2"/>
  <c r="AL4447" i="2"/>
  <c r="AL4393" i="2"/>
  <c r="AL4272" i="2"/>
  <c r="AL4215" i="2"/>
  <c r="AL4169" i="2"/>
  <c r="AL4157" i="2"/>
  <c r="AL4109" i="2"/>
  <c r="AL4051" i="2"/>
  <c r="AL3935" i="2"/>
  <c r="AL3897" i="2"/>
  <c r="AL3803" i="2"/>
  <c r="AL3776" i="2"/>
  <c r="AL4605"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67" i="2"/>
  <c r="AL4242" i="2"/>
  <c r="AL3940" i="2"/>
  <c r="AL4300" i="2"/>
  <c r="AL4287" i="2"/>
  <c r="AL4283" i="2"/>
  <c r="AL4255" i="2"/>
  <c r="AL4251"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42" i="2"/>
  <c r="AM42" i="2" s="1"/>
  <c r="AL5013" i="2"/>
  <c r="AL36" i="2"/>
  <c r="AL5198" i="2"/>
  <c r="AL5267" i="2"/>
  <c r="AL221" i="2"/>
  <c r="AL216" i="2"/>
  <c r="AL26" i="2"/>
  <c r="AL5243" i="2"/>
  <c r="AL173" i="2"/>
  <c r="AL5018" i="2"/>
  <c r="AL5021" i="2"/>
  <c r="AL5223" i="2"/>
  <c r="AL4786" i="2"/>
  <c r="AL4752" i="2"/>
  <c r="AL4489" i="2"/>
  <c r="AL4278" i="2"/>
  <c r="AL4225" i="2"/>
  <c r="AL4141" i="2"/>
  <c r="AL4966" i="2"/>
  <c r="AL4908" i="2"/>
  <c r="AL4813" i="2"/>
  <c r="AL4459" i="2"/>
  <c r="AL4433" i="2"/>
  <c r="AL4303" i="2"/>
  <c r="AL3843" i="2"/>
  <c r="AL4824" i="2"/>
  <c r="AL4654" i="2"/>
  <c r="AL4528" i="2"/>
  <c r="AL4501" i="2"/>
  <c r="AL4493" i="2"/>
  <c r="AL4466" i="2"/>
  <c r="AL4960" i="2"/>
  <c r="AL4949" i="2"/>
  <c r="AL4724" i="2"/>
  <c r="AL4644" i="2"/>
  <c r="AL4581" i="2"/>
  <c r="AL4494" i="2"/>
  <c r="AL4478" i="2"/>
  <c r="AL4454" i="2"/>
  <c r="AL4431" i="2"/>
  <c r="AL4345" i="2"/>
  <c r="AL4338" i="2"/>
  <c r="AL4007" i="2"/>
  <c r="AL3986" i="2"/>
  <c r="AL4804" i="2"/>
  <c r="AL4981" i="2"/>
  <c r="AL4938" i="2"/>
  <c r="AL4877" i="2"/>
  <c r="AL4633" i="2"/>
  <c r="AL4571" i="2"/>
  <c r="AL4549" i="2"/>
  <c r="AL4461" i="2"/>
  <c r="AL4365" i="2"/>
  <c r="AL4330"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904" i="2"/>
  <c r="AL3869" i="2"/>
  <c r="AL4327" i="2"/>
  <c r="AL4202" i="2"/>
  <c r="AL4098" i="2"/>
  <c r="AL3944" i="2"/>
  <c r="AL4410" i="2"/>
  <c r="AL4374" i="2"/>
  <c r="AL4348"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56" i="2"/>
  <c r="AL4045" i="2"/>
  <c r="AL4039" i="2"/>
  <c r="AL4019" i="2"/>
  <c r="AL4009"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615" i="2"/>
  <c r="AL4609" i="2"/>
  <c r="AL4587" i="2"/>
  <c r="AL4520" i="2"/>
  <c r="AL4482"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9" i="2"/>
  <c r="AM7" i="2"/>
  <c r="AL6" i="2"/>
  <c r="AM6" i="2"/>
  <c r="AL10" i="2"/>
  <c r="AM10" i="2" s="1"/>
  <c r="AL8" i="2"/>
  <c r="AM8" i="2"/>
  <c r="AL7" i="2"/>
  <c r="AL4994" i="2"/>
  <c r="AL4936" i="2"/>
  <c r="AL4914" i="2"/>
  <c r="AL4797" i="2"/>
  <c r="AL4649" i="2"/>
  <c r="AL4597" i="2"/>
  <c r="AL4890" i="2"/>
  <c r="AL4858" i="2"/>
  <c r="AL4664" i="2"/>
  <c r="AL4579" i="2"/>
  <c r="AL4973" i="2"/>
  <c r="AL4853" i="2"/>
  <c r="AL4785" i="2"/>
  <c r="AL4698"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315" i="2"/>
  <c r="AL192" i="2"/>
  <c r="AL5098" i="2"/>
  <c r="AL5152" i="2"/>
  <c r="AL5247" i="2"/>
  <c r="AL4939" i="2"/>
  <c r="AL4778" i="2"/>
  <c r="AL4677" i="2"/>
  <c r="AL4992" i="2"/>
  <c r="AL4989" i="2"/>
  <c r="AL4916" i="2"/>
  <c r="AL4856" i="2"/>
  <c r="AL4840" i="2"/>
  <c r="AL4779"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686" i="2"/>
  <c r="AL4656" i="2"/>
  <c r="AL4635" i="2"/>
  <c r="AL4580" i="2"/>
  <c r="AL4574" i="2"/>
  <c r="AL4548" i="2"/>
  <c r="AL4522" i="2"/>
  <c r="AL4449" i="2"/>
  <c r="AL4953" i="2"/>
  <c r="AL4935" i="2"/>
  <c r="AL4925" i="2"/>
  <c r="AL4921" i="2"/>
  <c r="AL4905"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93" i="2" l="1"/>
  <c r="AL92" i="2"/>
  <c r="AL91" i="2"/>
  <c r="AM91" i="2" s="1"/>
  <c r="AL90" i="2"/>
  <c r="AM90" i="2" s="1"/>
  <c r="AL88" i="2"/>
  <c r="AM88" i="2" s="1"/>
  <c r="AL87" i="2"/>
  <c r="AL80" i="2"/>
  <c r="AM80" i="2" s="1"/>
  <c r="AL67" i="2"/>
  <c r="AM67" i="2" s="1"/>
  <c r="AL86" i="2"/>
  <c r="AL85" i="2"/>
  <c r="AL84" i="2"/>
  <c r="AL83" i="2"/>
  <c r="AL82" i="2"/>
  <c r="AM82" i="2" s="1"/>
  <c r="AL81" i="2"/>
  <c r="AL79" i="2"/>
  <c r="AL77" i="2"/>
  <c r="AM77" i="2" s="1"/>
  <c r="AL76" i="2"/>
  <c r="AM76" i="2" s="1"/>
  <c r="AL75" i="2"/>
  <c r="AM75" i="2" s="1"/>
  <c r="AL74" i="2"/>
  <c r="AM74" i="2" s="1"/>
  <c r="AL73" i="2"/>
  <c r="AL72" i="2"/>
  <c r="AL71" i="2"/>
  <c r="AM71" i="2" s="1"/>
  <c r="AL70" i="2"/>
  <c r="AM70" i="2" s="1"/>
  <c r="AL69" i="2"/>
  <c r="AM69" i="2" s="1"/>
  <c r="AL68" i="2"/>
  <c r="AM68" i="2" s="1"/>
  <c r="AL66" i="2"/>
  <c r="AL65" i="2"/>
  <c r="AL64" i="2"/>
  <c r="AL63" i="2"/>
  <c r="AL62" i="2"/>
  <c r="AL61" i="2"/>
  <c r="AL59" i="2"/>
  <c r="AM59" i="2" s="1"/>
  <c r="AL58" i="2"/>
  <c r="AM58" i="2" s="1"/>
  <c r="AL55" i="2"/>
  <c r="AM55" i="2" s="1"/>
  <c r="AL54" i="2"/>
  <c r="AM54" i="2" s="1"/>
  <c r="AL53" i="2"/>
  <c r="AM53" i="2" s="1"/>
  <c r="AL52" i="2"/>
  <c r="AM52" i="2" s="1"/>
  <c r="AL50" i="2"/>
  <c r="AM50" i="2" s="1"/>
  <c r="AL48" i="2"/>
  <c r="AL35" i="2"/>
  <c r="AL27" i="2"/>
  <c r="AM27" i="2" s="1"/>
  <c r="AL24" i="2"/>
  <c r="AM24" i="2" s="1"/>
  <c r="AL21" i="2"/>
  <c r="AM21" i="2" s="1"/>
  <c r="AL20" i="2"/>
  <c r="AL16" i="2"/>
  <c r="AL11" i="2"/>
  <c r="AM11" i="2" s="1"/>
  <c r="AL9" i="2"/>
  <c r="AL4983" i="2"/>
  <c r="AL4888" i="2"/>
  <c r="AL4867" i="2"/>
  <c r="AL4814" i="2"/>
  <c r="AL4754" i="2"/>
  <c r="AL4726" i="2"/>
  <c r="AL4715" i="2"/>
  <c r="AL4683" i="2"/>
  <c r="AL4915" i="2"/>
  <c r="AL4869" i="2"/>
  <c r="AL4803" i="2"/>
  <c r="AL4768" i="2"/>
  <c r="AL4762" i="2"/>
  <c r="AL4700" i="2"/>
  <c r="AL4627" i="2"/>
  <c r="AL4957" i="2"/>
  <c r="AL4898" i="2"/>
  <c r="AL4833" i="2"/>
  <c r="AL4736" i="2"/>
  <c r="AL4946" i="2"/>
  <c r="AL4854" i="2"/>
  <c r="AL4849" i="2"/>
  <c r="AL4822" i="2"/>
  <c r="AL4820" i="2"/>
  <c r="AL4781" i="2"/>
  <c r="AL4753" i="2"/>
  <c r="AL4693" i="2"/>
  <c r="AL4991" i="2"/>
  <c r="AL4993" i="2"/>
  <c r="AL4984" i="2"/>
  <c r="AL4971" i="2"/>
  <c r="AL4965" i="2"/>
  <c r="AL4941" i="2"/>
  <c r="AL4791" i="2"/>
  <c r="AL4761" i="2"/>
  <c r="AL4742" i="2"/>
  <c r="AL4640" i="2"/>
  <c r="AL4878" i="2"/>
  <c r="AL4842" i="2"/>
  <c r="AL4763" i="2"/>
  <c r="AL4651" i="2"/>
  <c r="AL4642" i="2"/>
  <c r="AL4945" i="2"/>
  <c r="AL4918" i="2"/>
  <c r="AL4851" i="2"/>
  <c r="AL4832" i="2"/>
  <c r="AL4767" i="2"/>
  <c r="AL4765" i="2"/>
  <c r="AL4735" i="2"/>
  <c r="AL4722" i="2"/>
  <c r="AL4720" i="2"/>
  <c r="AL4707" i="2"/>
  <c r="AL4692" i="2"/>
  <c r="AL4621" i="2"/>
  <c r="AL4612" i="2"/>
  <c r="AL4990" i="2"/>
  <c r="AL4928" i="2"/>
  <c r="AL4901" i="2"/>
  <c r="AL4880" i="2"/>
  <c r="AL4810" i="2"/>
  <c r="AL4747" i="2"/>
  <c r="AL4653" i="2"/>
  <c r="AL4573" i="2"/>
  <c r="AL4252" i="2"/>
  <c r="AL4655" i="2"/>
  <c r="AL4531" i="2"/>
  <c r="AL4508" i="2"/>
  <c r="AL4402" i="2"/>
  <c r="AL4361" i="2"/>
  <c r="AL4269" i="2"/>
  <c r="AL3955" i="2"/>
  <c r="AL4595" i="2"/>
  <c r="AL4539" i="2"/>
  <c r="AL4535" i="2"/>
  <c r="AL4477" i="2"/>
  <c r="AL4473" i="2"/>
  <c r="AL4084" i="2"/>
  <c r="AL4674" i="2"/>
  <c r="AL4641" i="2"/>
  <c r="AL4622" i="2"/>
  <c r="AL4514" i="2"/>
  <c r="AL4437" i="2"/>
  <c r="AL4162" i="2"/>
  <c r="AL3710" i="2"/>
  <c r="AL4666" i="2"/>
  <c r="AL4620" i="2"/>
  <c r="AL4618" i="2"/>
  <c r="AL4568" i="2"/>
  <c r="AL4562" i="2"/>
  <c r="AL4495" i="2"/>
  <c r="AL4464" i="2"/>
  <c r="AL4371" i="2"/>
  <c r="AL4360" i="2"/>
  <c r="AL4600" i="2"/>
  <c r="AL4547" i="2"/>
  <c r="AL4458" i="2"/>
  <c r="AL4424" i="2"/>
  <c r="AL4311" i="2"/>
  <c r="AL4228" i="2"/>
  <c r="AL4190" i="2"/>
  <c r="AL4145" i="2"/>
  <c r="AL4129" i="2"/>
  <c r="AL4430" i="2"/>
  <c r="AL4364" i="2"/>
  <c r="AL4536" i="2"/>
  <c r="AL4521" i="2"/>
  <c r="AL4270" i="2"/>
  <c r="AL4257" i="2"/>
  <c r="AL4208" i="2"/>
  <c r="AL4111" i="2"/>
  <c r="AL4673" i="2"/>
  <c r="AL4557" i="2"/>
  <c r="AL4544" i="2"/>
  <c r="AL4513" i="2"/>
  <c r="AL4480" i="2"/>
  <c r="AL4457" i="2"/>
  <c r="AL4391" i="2"/>
  <c r="AL4280" i="2"/>
  <c r="AL4259" i="2"/>
  <c r="AL4613" i="2"/>
  <c r="AL4561" i="2"/>
  <c r="AL4542" i="2"/>
  <c r="AL4523" i="2"/>
  <c r="AL4490" i="2"/>
  <c r="AL4448" i="2"/>
  <c r="AL4117" i="2"/>
  <c r="AL4072" i="2"/>
  <c r="AL3827" i="2"/>
  <c r="AL4527" i="2"/>
  <c r="AL4492" i="2"/>
  <c r="AL4450" i="2"/>
  <c r="AL4265" i="2"/>
  <c r="AL4250" i="2"/>
  <c r="AL3613" i="2"/>
  <c r="AL3571" i="2"/>
  <c r="AL3414" i="2"/>
  <c r="AL3760" i="2"/>
  <c r="AL3378" i="2"/>
  <c r="AL3989" i="2"/>
  <c r="AL3947" i="2"/>
  <c r="AL3630" i="2"/>
  <c r="AL3531" i="2"/>
  <c r="AL3493" i="2"/>
  <c r="AL3464" i="2"/>
  <c r="AL3616" i="2"/>
  <c r="AL3757" i="2"/>
  <c r="AL3728" i="2"/>
  <c r="AL3526" i="2"/>
  <c r="AL3327" i="2"/>
  <c r="AL3790" i="2"/>
  <c r="AL3761" i="2"/>
  <c r="AL3726" i="2"/>
  <c r="AL3532" i="2"/>
  <c r="AL3976" i="2"/>
  <c r="AL3948" i="2"/>
  <c r="AL3492" i="2"/>
  <c r="AL3439" i="2"/>
  <c r="AL3415" i="2"/>
  <c r="AL3872" i="2"/>
  <c r="AL3856" i="2"/>
  <c r="AL3741" i="2"/>
  <c r="AL3709" i="2"/>
  <c r="AL3900" i="2"/>
  <c r="AL3832" i="2"/>
  <c r="AL3771" i="2"/>
  <c r="AL3672" i="2"/>
  <c r="AL3611" i="2"/>
  <c r="AL3552" i="2"/>
  <c r="AL3302" i="2"/>
  <c r="AL3385" i="2"/>
  <c r="AL3253" i="2"/>
  <c r="AL3123" i="2"/>
  <c r="AL2727" i="2"/>
  <c r="AL2204" i="2"/>
  <c r="AL3320" i="2"/>
  <c r="AL3309" i="2"/>
  <c r="AL3307" i="2"/>
  <c r="AL3328" i="2"/>
  <c r="AL3212" i="2"/>
  <c r="AL3138" i="2"/>
  <c r="AL3005" i="2"/>
  <c r="AL3330" i="2"/>
  <c r="AL3467" i="2"/>
  <c r="AL3465" i="2"/>
  <c r="AL3344" i="2"/>
  <c r="AL3300" i="2"/>
  <c r="AL2939" i="2"/>
  <c r="AL2690" i="2"/>
  <c r="AL2679" i="2"/>
  <c r="AL2191" i="2"/>
  <c r="AL2124" i="2"/>
  <c r="AL2630" i="2"/>
  <c r="AL2606" i="2"/>
  <c r="AL2448" i="2"/>
  <c r="AL2416" i="2"/>
  <c r="AL2353" i="2"/>
  <c r="AL2568" i="2"/>
  <c r="AL2605" i="2"/>
  <c r="AL2383" i="2"/>
  <c r="AL2091" i="2"/>
  <c r="AL2835" i="2"/>
  <c r="AL2673" i="2"/>
  <c r="AL2663" i="2"/>
  <c r="AL2479" i="2"/>
  <c r="AL2430" i="2"/>
  <c r="AL2364" i="2"/>
  <c r="AL2295" i="2"/>
  <c r="AL2015" i="2"/>
  <c r="AL2366" i="2"/>
  <c r="AL2066" i="2"/>
  <c r="AL2722" i="2"/>
  <c r="AL1818" i="2"/>
  <c r="AL1883" i="2"/>
  <c r="AL1224" i="2"/>
  <c r="AL947" i="2"/>
  <c r="AL925" i="2"/>
  <c r="AL1308" i="2"/>
  <c r="AL998" i="2"/>
  <c r="AL1088" i="2"/>
  <c r="AL1327" i="2"/>
  <c r="AL967" i="2"/>
  <c r="AL950" i="2"/>
  <c r="AL1486" i="2"/>
  <c r="AL1776" i="2"/>
  <c r="AL5082" i="2"/>
  <c r="AL52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<sst xmlns="http://schemas.openxmlformats.org/spreadsheetml/2006/main" count="1018" uniqueCount="294">
  <si>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</si>
  <si>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</si>
  <si>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</si>
  <si>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</si>
  <si>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</si>
  <si>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</si>
  <si>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</si>
  <si>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</si>
  <si>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</si>
  <si>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</si>
  <si>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</si>
  <si>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</si>
  <si>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</si>
  <si>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</si>
  <si>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</si>
  <si>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</si>
  <si>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</si>
  <si>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</si>
  <si>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</si>
  <si>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</si>
  <si>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</si>
  <si>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</si>
  <si>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</si>
  <si>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</si>
  <si>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</si>
  <si>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</si>
  <si>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</si>
  <si>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</si>
  <si>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</si>
  <si>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</si>
  <si>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</si>
  <si>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</si>
  <si>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</si>
  <si>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</si>
  <si>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</si>
  <si>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</si>
  <si>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</si>
  <si>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</si>
  <si>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</si>
  <si>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</si>
  <si>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</si>
  <si>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</si>
  <si>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</si>
  <si>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</si>
  <si>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</si>
  <si>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</si>
  <si>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</si>
  <si>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</si>
  <si>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</si>
  <si>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</si>
  <si>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</si>
  <si>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</si>
  <si>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</si>
  <si>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</si>
  <si>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</si>
  <si>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</si>
  <si>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</si>
  <si>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</si>
  <si>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</si>
  <si>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</si>
  <si>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</si>
  <si>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</si>
  <si>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</si>
  <si>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</si>
  <si>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</si>
  <si>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</si>
  <si>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</si>
  <si>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</si>
  <si>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</si>
  <si>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</si>
  <si>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</si>
  <si>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</si>
  <si>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</si>
  <si>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</si>
  <si>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</si>
  <si>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</si>
  <si>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</si>
  <si>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</si>
  <si>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</si>
  <si>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</si>
  <si>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</si>
  <si>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</si>
  <si>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</si>
  <si>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</si>
  <si>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</si>
  <si>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</si>
  <si>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</si>
  <si>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</si>
  <si>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</si>
  <si>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</si>
  <si>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</si>
  <si>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</si>
  <si>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</si>
  <si>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Rabbit Creek</t>
  </si>
  <si>
    <t>Open Bottom Structure</t>
  </si>
  <si>
    <t>Bridge</t>
  </si>
  <si>
    <t>No</t>
  </si>
  <si>
    <t>Tributary to Wigwam River</t>
  </si>
  <si>
    <t>Wigwam FSR</t>
  </si>
  <si>
    <t>Closed Bottom Structure</t>
  </si>
  <si>
    <t>Round Culvert</t>
  </si>
  <si>
    <t>Deep Fill</t>
  </si>
  <si>
    <t>Low</t>
  </si>
  <si>
    <t>Bridge has collapsed but is not blocking channel. 16:08</t>
  </si>
  <si>
    <t>Bridge has collapsed but is not blocking channel. 16:36</t>
  </si>
  <si>
    <t>Bridge has collapsed but is not blocking channel. 16:59</t>
  </si>
  <si>
    <t>Drains Snowshoe Lake.  No visible channel.  No fish habitat present as the channel empties into large natural depression area ~60m upstream of the road. 16:25</t>
  </si>
  <si>
    <t>Suspect that this stream is mapped incorrectly. 15:41</t>
  </si>
  <si>
    <t>Lodgepole Creek</t>
  </si>
  <si>
    <t>Yes</t>
  </si>
  <si>
    <t>Medium</t>
  </si>
  <si>
    <t xml:space="preserve">Lodgepole Creek </t>
  </si>
  <si>
    <t>Harvey FSR</t>
  </si>
  <si>
    <t>Other</t>
  </si>
  <si>
    <t>Ford</t>
  </si>
  <si>
    <t>Two pipes (1m each) but one blocked with debris.  Because height of outlets equivalent widths were added together for input to stream width ratio.   Large beaver dams upstream between culvert and Lodgepole Lake. 15:37</t>
  </si>
  <si>
    <t>Small stream with good flow.  Abundant gravels just upstream with gradients increasing to 6-7% near 540m upstream of culvert where large (~30m high) waterfall is located. 10:18</t>
  </si>
  <si>
    <t>Bridge has been removed. No isuues.  9:50</t>
  </si>
  <si>
    <t>Tributary to Lodgepole Creek</t>
  </si>
  <si>
    <t>Bridge has been removed. No isuues.  9:25</t>
  </si>
  <si>
    <t>ATV ford.  No fish passage issues. 11:10</t>
  </si>
  <si>
    <t>Bean Creek</t>
  </si>
  <si>
    <t>Ram FSR</t>
  </si>
  <si>
    <t>Ford.  No fish passage issues. 10:55</t>
  </si>
  <si>
    <t>Bridge. 11:53</t>
  </si>
  <si>
    <t>Tributary to Bean Creek</t>
  </si>
  <si>
    <t>Lodgepole FSR</t>
  </si>
  <si>
    <t>Large channel but stream is completely dry. 12:11</t>
  </si>
  <si>
    <t>Gasline</t>
  </si>
  <si>
    <t>Bridge on the pipeline right of way. 13:30</t>
  </si>
  <si>
    <t>AI</t>
  </si>
  <si>
    <t>Spur</t>
  </si>
  <si>
    <t>Gated access management area.  15:00</t>
  </si>
  <si>
    <t>Gated access management area.  Falls located ~60m upstream of the crossing. 15:45</t>
  </si>
  <si>
    <t>Tributary to Bighorn Creek</t>
  </si>
  <si>
    <t>Cabin FSR</t>
  </si>
  <si>
    <t>Culvert installed in road prism which creates 1m step, steep gradients and outlet drop.  Small system. 12:00</t>
  </si>
  <si>
    <t>Dredged upstream.  Nice stream with boulder habitat but very steep.13:15</t>
  </si>
  <si>
    <t>Nice gravels with good flow but small stream with steeper grade for size of channel.  LWD drop of ~90cm located at ~55m upstream. Borderline moderate habitat value. 12:20</t>
  </si>
  <si>
    <t>Ford. 13:43</t>
  </si>
  <si>
    <t>Dry with partially vegetated channel. 14:00</t>
  </si>
  <si>
    <t>Harmer Creek</t>
  </si>
  <si>
    <t>No crossing present. 16:20</t>
  </si>
  <si>
    <t>Kisoo Creek</t>
  </si>
  <si>
    <t>Crossing removed. 11:45</t>
  </si>
  <si>
    <t>Unnamed</t>
  </si>
  <si>
    <t>Tributary to Flathead River</t>
  </si>
  <si>
    <t>Ford. 16:52</t>
  </si>
  <si>
    <t>Nettie Creek</t>
  </si>
  <si>
    <t>Flathead FSR</t>
  </si>
  <si>
    <t>Pipe Arch</t>
  </si>
  <si>
    <t>ATV access road.  Small beaver dam along road.  Good flow but very small channel. 13:39</t>
  </si>
  <si>
    <t>Commerce FSR</t>
  </si>
  <si>
    <t>Dry channel.  Very poorly defined channel upstream.  Inlet perched.  Unlikely fish habitat. 13:53</t>
  </si>
  <si>
    <t>Tributary to Calder Creek</t>
  </si>
  <si>
    <t>WCT captured just upsteram of this site in 2014 https://a100.gov.bc.ca/pub/acat/public/viewReport.do?reportId=50581 . 10:40</t>
  </si>
  <si>
    <t>Calder Creek</t>
  </si>
  <si>
    <t>Road deactivated.  Full rehab.  No ATV access. 10:58</t>
  </si>
  <si>
    <t>Couldrey Creek</t>
  </si>
  <si>
    <t>No modelled crossing on maps. 14:28</t>
  </si>
  <si>
    <t>Morris Creek</t>
  </si>
  <si>
    <t>Wildlife trail.  No structure.  Road does not appear to be usd by ATVs.  Man flow of Morris Creek is actually north of here and flows in from the north. Small amount of flow on trail. No indiction of channel. 11:02</t>
  </si>
  <si>
    <t>Wildlife trail.  No structure.  Road does not appear to be usd by ATVs.  Man flow of Morris Creek is actually north of here and flows in from the north. Small amount of flow on trail. No indiction of channel. 11:07</t>
  </si>
  <si>
    <t>High</t>
  </si>
  <si>
    <t>KP</t>
  </si>
  <si>
    <t>Ford within access mnagement area. 10:26</t>
  </si>
  <si>
    <t>Newly replaced culvert with natural embedded substrate.  Likely PSCIS point 50071 however the coordinates for that site appear to be input incorrectly. 15:55</t>
  </si>
  <si>
    <t>Weigert Creek</t>
  </si>
  <si>
    <t>Weigert FSR</t>
  </si>
  <si>
    <t>Tributary to Weigert Creek</t>
  </si>
  <si>
    <t>Dry and very steep stream channel.  Likely to steep for WCT. 10:47</t>
  </si>
  <si>
    <t>Road deactivated at entrance and crossings pulled. 10:37</t>
  </si>
  <si>
    <t>Road deactivated.  Multiple crossings pulled out.  Appears to be a tributary on map but on ground appears that it is possibly a side channel to Weigert. 10:42</t>
  </si>
  <si>
    <t>Cummings Creek</t>
  </si>
  <si>
    <t>Cummings FSR</t>
  </si>
  <si>
    <t>ATV Trail. 11:42</t>
  </si>
  <si>
    <t>ATV Trail. 13:00</t>
  </si>
  <si>
    <t>Sporty ATV access only ;). 13:40</t>
  </si>
  <si>
    <t>AI KP</t>
  </si>
  <si>
    <t>AI SS RA</t>
  </si>
  <si>
    <t>Henretta Creek</t>
  </si>
  <si>
    <t>Teck</t>
  </si>
  <si>
    <t>Transmission line crossing.  May have been a bridge historically. 14:49</t>
  </si>
  <si>
    <t>Approximately 60m downstream of modelled location. 15:25</t>
  </si>
  <si>
    <t>Fording River</t>
  </si>
  <si>
    <t>Staff gauge and transducer upstream. 12:30</t>
  </si>
  <si>
    <t>Two pipes (2.7 x 2.2).  Length of pipes is 130m! Biomark station installed to document fish movement through culvert. Four concrete weirs (~0.3m drops) located downstream of outlet. 15:50</t>
  </si>
  <si>
    <t>FRO Coal Haul</t>
  </si>
  <si>
    <t>Very large culvert on main coal haul road. Outlet appears to have been backwatered by downstream wiers. 14:04</t>
  </si>
  <si>
    <t>AI BK SS RA</t>
  </si>
  <si>
    <t>Tributary to Elk River</t>
  </si>
  <si>
    <t>Elk FSR</t>
  </si>
  <si>
    <t>Dry at the time of the assessment.  Inlet drop of 10cm. 11:51</t>
  </si>
  <si>
    <t>Inlet drop ~5cm.  13:15</t>
  </si>
  <si>
    <t>Good flow with some decent lower gradient habitat upstream of the FSR. 13:24</t>
  </si>
  <si>
    <t>Hosmer Creek</t>
  </si>
  <si>
    <t>Ford. 14:15</t>
  </si>
  <si>
    <t>3rd Avenue</t>
  </si>
  <si>
    <t>Tributary to Hosmer Creek</t>
  </si>
  <si>
    <t>Four round culverts (1.4, 1.4, 1.0, 1.0m).  Width used is equal to estimated channel width because the crossing is fully backwatered with wetland type habitat. Very unlikely that there are other crossings on this tributary upstream or downstream (it is Hosmer Creek downstream) as there does not appear to be any roads. Confirmed that modelled crossing 4603285 (30m upstream) does not exist.  14:35</t>
  </si>
  <si>
    <t>Highway 3</t>
  </si>
  <si>
    <t>CP Railway</t>
  </si>
  <si>
    <t>Stephenson Road</t>
  </si>
  <si>
    <t>Adjacent landowner reports that this crossing was a bridge ~50 years ago and that the culvert is known to overflow during floods.  Several 1m bolulders are lodge approximately 4m inside of the the pipe. 16:20</t>
  </si>
  <si>
    <t>Concrete structure has been built to facilitate fish passage.  There are baffles and installed within one side of the culvert which embedded this area of the culvert with substrate. 15:45</t>
  </si>
  <si>
    <t>Inlet drop ~0.75m. Backwatering done in past to reduce outlet drop.  Water intake downstream form the culvert. 15:12</t>
  </si>
  <si>
    <t>Transmisson Line</t>
  </si>
  <si>
    <t>Bridge. 16:55</t>
  </si>
  <si>
    <t>Morrisey Creek</t>
  </si>
  <si>
    <t>Ford on old road.  Road is grassy. 8:44</t>
  </si>
  <si>
    <t>McCool Creek</t>
  </si>
  <si>
    <t>Bighorn Creek</t>
  </si>
  <si>
    <t>Bridge. 11:38</t>
  </si>
  <si>
    <t>Some use of ATVs evident.  Open gate on far side. 11:48</t>
  </si>
  <si>
    <t>Nice stream with big pool. 12:22</t>
  </si>
  <si>
    <t>Cobble substrate and abundant overhanging vegetation.  Decent sized stream. 13:24</t>
  </si>
  <si>
    <t>New PVC culvert.  Creek appears to have been dredged often.  Channel dry.  Inlet drop of ~0.15m. 13:47</t>
  </si>
  <si>
    <t>Tributary to Ewin Creek</t>
  </si>
  <si>
    <t>Deactivated road. 10:43</t>
  </si>
  <si>
    <t>Chauncey Creek</t>
  </si>
  <si>
    <t>Old road but possible ford site not actually on road and road mapped on other side of creek.  Access management area.  Restoration site downstream. 12:00</t>
  </si>
  <si>
    <t>KP AI</t>
  </si>
  <si>
    <t>Homemade ATV bridge built with logs and slats. 15:41</t>
  </si>
  <si>
    <t>Tributary to Sage Creek</t>
  </si>
  <si>
    <t>Flathead-Nettie FSR</t>
  </si>
  <si>
    <t>Channel heavily vegetated with moss indicating it flows intermittently.   Very low flow at time of assessment. 12:12</t>
  </si>
  <si>
    <t>Overflow culvert is 0.12m and 2%.   Almost backwatered buy slowly tricklying.  Inlet is almost fullly clogged and has inlet drop of 0.4m.  Slope of primary culvert estimated as very difficult to measure. 11:41</t>
  </si>
  <si>
    <t>Kishinea FSR</t>
  </si>
  <si>
    <t>Upstream channel is wet meadow with grass, moss and willow.  Inlet appears to be above where the channel would be.  Downstream is willow area with poorly defined channel. Dry at time of survey. 13:36</t>
  </si>
  <si>
    <t>Calder Creek Main</t>
  </si>
  <si>
    <t>Crossing is in slightly different location that mapped. 10:35</t>
  </si>
  <si>
    <t>Spur 1000</t>
  </si>
  <si>
    <t>Bridge. 10:54</t>
  </si>
  <si>
    <t>Black plastic arch.  Strucure appears to be lifting off ground where placed. Bend in middle of pipe where road crosses. 11:04</t>
  </si>
  <si>
    <t>Inlet drop from debris ~0.35m.  Heavily logged to stream upstream.  Culvert is steeper for first 1/2 on upstream side.  Slightly embedded on outlet but unlikely to hold due to small size of substrate.  11:20</t>
  </si>
  <si>
    <t>Ford. Adjacent stream channel dry. 15:01</t>
  </si>
  <si>
    <t>Ford. 15:11</t>
  </si>
  <si>
    <t>Tributary to Cauldrey Creek</t>
  </si>
  <si>
    <t>Couldrey FSR</t>
  </si>
  <si>
    <t>Good flow.  15:28</t>
  </si>
  <si>
    <t>Cauldrey Creek</t>
  </si>
  <si>
    <t>Frozen Lake</t>
  </si>
  <si>
    <t>Bridge. 15:32</t>
  </si>
  <si>
    <t>Dry with poorly defined downstream channel. 12:03</t>
  </si>
  <si>
    <t>Overflow pipe on river left is ~1.4m diameter.  Aggrading happening upstream of structure because undersized.  Aggrading is 8-9% gradient for rise of 0.55m over a distance of 2.3m.  Channel width is 4.0m. 12:32</t>
  </si>
  <si>
    <t>Inlet drop of 0.2m.  Small stream, good flow. Steep downstream below pool. 12:42</t>
  </si>
  <si>
    <t>Unclassified</t>
  </si>
  <si>
    <t>Canfor R08380</t>
  </si>
  <si>
    <t>Unknown</t>
  </si>
  <si>
    <t>FLNR DRM 5466</t>
  </si>
  <si>
    <t>Canfor R08388</t>
  </si>
  <si>
    <t>Sparwood Unclassified</t>
  </si>
  <si>
    <t>FLNR DRM 0030</t>
  </si>
  <si>
    <t>FLNR DRM 8633</t>
  </si>
  <si>
    <t>FLNR DRM 0142</t>
  </si>
  <si>
    <t>FLNR DRM 0103</t>
  </si>
  <si>
    <t>MoTi Local</t>
  </si>
  <si>
    <t>MoTi Arterial</t>
  </si>
  <si>
    <t>Canadian Pacific</t>
  </si>
  <si>
    <t>Resource</t>
  </si>
  <si>
    <t>Phillips Creek Main</t>
  </si>
  <si>
    <t>FLNR DRM 0064</t>
  </si>
  <si>
    <t>Wigwam Lookout Trail</t>
  </si>
  <si>
    <t>No crossing present. 14:20</t>
  </si>
  <si>
    <t>Appears that bridge may have been removed recently. 16:06</t>
  </si>
  <si>
    <t>Ford. No card filled out. 15:17</t>
  </si>
  <si>
    <t xml:space="preserve">AI BK SS </t>
  </si>
  <si>
    <t>Tributary to Lizard Creek</t>
  </si>
  <si>
    <t>Lazy Lizard Lower Trail</t>
  </si>
  <si>
    <t>Bridge on walking/bike trail. 12:44</t>
  </si>
  <si>
    <t>Very steep immediately upstream of crossing. 13:33</t>
  </si>
  <si>
    <t>Drop of 1.1m just below outlet.  Very unlikley to be fish habitat. Stream mapped incorrectly.  Main channel is S and crosses road approximately 200m up the road. 15:30</t>
  </si>
  <si>
    <t>Elk River Main FSR</t>
  </si>
  <si>
    <t>Very steep stream.  Culvert failing just downstream of inlet. Stream braids upstream.  13:15</t>
  </si>
  <si>
    <t>AI BK</t>
  </si>
  <si>
    <t>Embedded for approxmately 8m from the inlet.  Small water supply dam located upstream of culvert ~45m.  Structure is ~1m high. 17:00</t>
  </si>
  <si>
    <t>Well used ford.  Actually crossing location does not align exceptionally well with modelled location but we have left the modelled location to facilitate the best modelling. Actual UTM (11U 648220 5499799). 11:29</t>
  </si>
  <si>
    <t>This road is not detectable in the field. There is no crossing structure. 15:48</t>
  </si>
  <si>
    <t>Ford.  No road present on far side of stream. 11:28</t>
  </si>
  <si>
    <t>Inactive road. Thick alders.  Walked in from Cabin FSR. 11:28</t>
  </si>
  <si>
    <t>Inactive road. Site was assessed because of good flows upstream at PSCIS crossing 50092 and documentation of culvert at 50090.  However, no culvert or evidence of stream channel located in area.  12:24</t>
  </si>
  <si>
    <t>Upper Elk River and Flathead River Fish Passage Restoration Planning - 2021</t>
  </si>
  <si>
    <t>ENV07_Elk</t>
  </si>
  <si>
    <t>00188139</t>
  </si>
  <si>
    <t>Betty Rebellato</t>
  </si>
  <si>
    <t>800-563-9453</t>
  </si>
  <si>
    <t>BettyR@cwf-fcf.org</t>
  </si>
  <si>
    <t>186987</t>
  </si>
  <si>
    <t>Al Irvine</t>
  </si>
  <si>
    <t>250-777-1518</t>
  </si>
  <si>
    <t>al@newgraphenvironment.com</t>
  </si>
  <si>
    <t>OTHER</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</si>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</sst>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BettyR@cwf-fcf.org"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J15" sqref="J1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282</v>
      </c>
    </row>
    <row r="5" spans="1:20" x14ac:dyDescent="0.25">
      <c r="A5" s="4" t="s">
        <v>58</v>
      </c>
      <c r="B5" t="s">
        <v>281</v>
      </c>
    </row>
    <row r="6" spans="1:20" x14ac:dyDescent="0.25">
      <c r="A6" s="4"/>
      <c r="B6" s="118"/>
    </row>
    <row r="7" spans="1:20" x14ac:dyDescent="0.25">
      <c r="A7" s="4" t="s">
        <v>86</v>
      </c>
      <c r="B7" s="119" t="s">
        <v>283</v>
      </c>
    </row>
    <row r="8" spans="1:20" x14ac:dyDescent="0.25">
      <c r="A8" s="4" t="s">
        <v>73</v>
      </c>
      <c r="B8" t="s">
        <v>284</v>
      </c>
    </row>
    <row r="9" spans="1:20" x14ac:dyDescent="0.25">
      <c r="A9" s="4" t="s">
        <v>74</v>
      </c>
      <c r="B9" t="s">
        <v>285</v>
      </c>
    </row>
    <row r="10" spans="1:20" x14ac:dyDescent="0.25">
      <c r="A10" s="4" t="s">
        <v>75</v>
      </c>
      <c r="B10" s="120" t="s">
        <v>286</v>
      </c>
    </row>
    <row r="11" spans="1:20" x14ac:dyDescent="0.25">
      <c r="A11" s="4"/>
      <c r="B11" s="118"/>
    </row>
    <row r="12" spans="1:20" x14ac:dyDescent="0.25">
      <c r="A12" s="4" t="s">
        <v>36</v>
      </c>
      <c r="B12" s="119" t="s">
        <v>287</v>
      </c>
    </row>
    <row r="13" spans="1:20" x14ac:dyDescent="0.25">
      <c r="A13" s="4" t="s">
        <v>37</v>
      </c>
      <c r="B13" t="s">
        <v>288</v>
      </c>
    </row>
    <row r="14" spans="1:20" x14ac:dyDescent="0.25">
      <c r="A14" s="4" t="s">
        <v>38</v>
      </c>
      <c r="B14" t="s">
        <v>289</v>
      </c>
    </row>
    <row r="15" spans="1:20" x14ac:dyDescent="0.25">
      <c r="A15" s="4" t="s">
        <v>39</v>
      </c>
      <c r="B15" s="120" t="s">
        <v>290</v>
      </c>
    </row>
    <row r="16" spans="1:20" x14ac:dyDescent="0.25">
      <c r="A16" s="4"/>
      <c r="B16" s="118"/>
    </row>
    <row r="17" spans="1:2" x14ac:dyDescent="0.25">
      <c r="A17" s="4" t="s">
        <v>40</v>
      </c>
      <c r="B17">
        <v>20000</v>
      </c>
    </row>
    <row r="18" spans="1:2" x14ac:dyDescent="0.25">
      <c r="A18" s="4" t="s">
        <v>41</v>
      </c>
      <c r="B18" t="s">
        <v>291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78E4395D-44B2-46B6-AD77-0225141D0FF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80" activePane="bottomLeft" state="frozen"/>
      <selection pane="bottomLeft" activeCell="AO95" sqref="AO95"/>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44404</v>
      </c>
      <c r="B5" s="112"/>
      <c r="C5" s="116">
        <v>4601993</v>
      </c>
      <c r="D5" s="116" t="s">
        <v>92</v>
      </c>
      <c r="E5" s="77">
        <v>11</v>
      </c>
      <c r="F5" s="53">
        <v>656654.99949205399</v>
      </c>
      <c r="G5" s="51">
        <v>5431721.14825291</v>
      </c>
      <c r="H5" s="11" t="s">
        <v>93</v>
      </c>
      <c r="I5" s="11"/>
      <c r="J5" s="104"/>
      <c r="K5" s="11" t="s">
        <v>246</v>
      </c>
      <c r="L5" s="116" t="s">
        <v>94</v>
      </c>
      <c r="M5" s="116" t="s">
        <v>95</v>
      </c>
      <c r="N5" s="109">
        <v>7.5</v>
      </c>
      <c r="O5" s="109">
        <v>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103</v>
      </c>
    </row>
    <row r="6" spans="1:42" s="13" customFormat="1" x14ac:dyDescent="0.25">
      <c r="A6" s="117">
        <v>44404</v>
      </c>
      <c r="B6" s="112"/>
      <c r="C6" s="116">
        <v>4601995</v>
      </c>
      <c r="D6" s="116" t="s">
        <v>92</v>
      </c>
      <c r="E6" s="77">
        <v>11</v>
      </c>
      <c r="F6" s="78">
        <v>655890.16701775603</v>
      </c>
      <c r="G6" s="79">
        <v>5431860.2071326803</v>
      </c>
      <c r="H6" s="11" t="s">
        <v>93</v>
      </c>
      <c r="I6" s="77"/>
      <c r="J6" s="104"/>
      <c r="K6" s="116" t="s">
        <v>246</v>
      </c>
      <c r="L6" s="116" t="s">
        <v>94</v>
      </c>
      <c r="M6" s="116" t="s">
        <v>95</v>
      </c>
      <c r="N6" s="109">
        <v>14</v>
      </c>
      <c r="O6" s="109">
        <v>5</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104</v>
      </c>
    </row>
    <row r="7" spans="1:42" s="13" customFormat="1" x14ac:dyDescent="0.25">
      <c r="A7" s="117">
        <v>44404</v>
      </c>
      <c r="B7" s="112"/>
      <c r="C7" s="116">
        <v>4602359</v>
      </c>
      <c r="D7" s="116" t="s">
        <v>92</v>
      </c>
      <c r="E7" s="77">
        <v>11</v>
      </c>
      <c r="F7" s="78">
        <v>655618.02343081101</v>
      </c>
      <c r="G7" s="79">
        <v>5431721.0230451198</v>
      </c>
      <c r="H7" s="11" t="s">
        <v>93</v>
      </c>
      <c r="I7" s="77"/>
      <c r="J7" s="104"/>
      <c r="K7" s="116" t="s">
        <v>246</v>
      </c>
      <c r="L7" s="116" t="s">
        <v>94</v>
      </c>
      <c r="M7" s="116" t="s">
        <v>95</v>
      </c>
      <c r="N7" s="114">
        <v>12</v>
      </c>
      <c r="O7" s="114">
        <v>5</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03" t="s">
        <v>105</v>
      </c>
    </row>
    <row r="8" spans="1:42" s="13" customFormat="1" x14ac:dyDescent="0.25">
      <c r="A8" s="117">
        <v>44405</v>
      </c>
      <c r="B8" s="110"/>
      <c r="C8" s="116">
        <v>4605937</v>
      </c>
      <c r="D8" s="116" t="s">
        <v>92</v>
      </c>
      <c r="E8" s="77">
        <v>11</v>
      </c>
      <c r="F8" s="78">
        <v>662246.99257775501</v>
      </c>
      <c r="G8" s="79">
        <v>5431293.9861369999</v>
      </c>
      <c r="H8" s="116" t="s">
        <v>97</v>
      </c>
      <c r="I8" s="77" t="s">
        <v>98</v>
      </c>
      <c r="J8" s="105"/>
      <c r="K8" s="108" t="s">
        <v>247</v>
      </c>
      <c r="L8" s="116" t="s">
        <v>99</v>
      </c>
      <c r="M8" s="116" t="s">
        <v>100</v>
      </c>
      <c r="N8" s="114">
        <v>0.4</v>
      </c>
      <c r="O8" s="114">
        <v>12.5</v>
      </c>
      <c r="P8" s="116" t="s">
        <v>96</v>
      </c>
      <c r="Q8" s="121"/>
      <c r="R8" s="116" t="s">
        <v>96</v>
      </c>
      <c r="S8" s="116" t="s">
        <v>96</v>
      </c>
      <c r="T8" s="121"/>
      <c r="U8" s="116">
        <v>2</v>
      </c>
      <c r="V8" s="116">
        <v>0</v>
      </c>
      <c r="W8" s="116">
        <v>0</v>
      </c>
      <c r="X8" s="116" t="s">
        <v>96</v>
      </c>
      <c r="Y8" s="116">
        <v>1</v>
      </c>
      <c r="Z8" s="116">
        <v>0.6</v>
      </c>
      <c r="AA8" s="116">
        <v>3.5</v>
      </c>
      <c r="AB8" s="115" t="s">
        <v>96</v>
      </c>
      <c r="AC8" s="115" t="s">
        <v>96</v>
      </c>
      <c r="AD8" s="116" t="s">
        <v>101</v>
      </c>
      <c r="AE8" s="116" t="s">
        <v>102</v>
      </c>
      <c r="AF8" s="22">
        <f t="shared" si="0"/>
        <v>1.4999999999999998</v>
      </c>
      <c r="AG8" s="15">
        <f t="shared" si="1"/>
        <v>0</v>
      </c>
      <c r="AH8" s="7">
        <f t="shared" si="2"/>
        <v>10</v>
      </c>
      <c r="AI8" s="7">
        <f t="shared" si="3"/>
        <v>0</v>
      </c>
      <c r="AJ8" s="7">
        <f t="shared" si="4"/>
        <v>5</v>
      </c>
      <c r="AK8" s="12">
        <f t="shared" si="5"/>
        <v>6</v>
      </c>
      <c r="AL8" s="14">
        <f t="shared" si="6"/>
        <v>21</v>
      </c>
      <c r="AM8" s="16" t="str">
        <f t="shared" si="7"/>
        <v>Barrier</v>
      </c>
      <c r="AN8" s="116" t="s">
        <v>292</v>
      </c>
      <c r="AO8" s="116">
        <v>3</v>
      </c>
      <c r="AP8" s="116" t="s">
        <v>243</v>
      </c>
    </row>
    <row r="9" spans="1:42" x14ac:dyDescent="0.25">
      <c r="A9" s="117">
        <v>44405</v>
      </c>
      <c r="B9" s="111"/>
      <c r="C9" s="116">
        <v>4605216</v>
      </c>
      <c r="D9" s="116" t="s">
        <v>92</v>
      </c>
      <c r="E9" s="77">
        <v>11</v>
      </c>
      <c r="F9" s="78">
        <v>647551</v>
      </c>
      <c r="G9" s="79">
        <v>5449746</v>
      </c>
      <c r="H9" s="103" t="s">
        <v>97</v>
      </c>
      <c r="I9" s="77"/>
      <c r="J9" s="104"/>
      <c r="K9" s="108" t="s">
        <v>248</v>
      </c>
      <c r="L9" s="116" t="s">
        <v>94</v>
      </c>
      <c r="M9" s="115" t="s">
        <v>95</v>
      </c>
      <c r="N9" s="113">
        <v>14</v>
      </c>
      <c r="O9" s="113">
        <v>4.5</v>
      </c>
      <c r="P9" s="121"/>
      <c r="Q9" s="121"/>
      <c r="R9" s="121"/>
      <c r="S9" s="121"/>
      <c r="T9" s="121"/>
      <c r="U9" s="121"/>
      <c r="V9" s="121"/>
      <c r="W9" s="121"/>
      <c r="X9" s="121"/>
      <c r="Y9" s="121"/>
      <c r="Z9" s="121"/>
      <c r="AA9" s="121"/>
      <c r="AB9" s="115"/>
      <c r="AC9" s="115"/>
      <c r="AD9" s="121"/>
      <c r="AE9" s="121"/>
      <c r="AF9" s="22">
        <f t="shared" si="0"/>
        <v>0</v>
      </c>
      <c r="AG9" s="15">
        <f t="shared" si="1"/>
        <v>0</v>
      </c>
      <c r="AH9" s="7">
        <f t="shared" si="2"/>
        <v>0</v>
      </c>
      <c r="AI9" s="7">
        <f t="shared" si="3"/>
        <v>0</v>
      </c>
      <c r="AJ9" s="7">
        <f t="shared" si="4"/>
        <v>0</v>
      </c>
      <c r="AK9" s="12">
        <f t="shared" si="5"/>
        <v>0</v>
      </c>
      <c r="AL9" s="14">
        <f t="shared" si="6"/>
        <v>0</v>
      </c>
      <c r="AM9" s="16" t="str">
        <f t="shared" si="7"/>
        <v>Passable</v>
      </c>
      <c r="AN9" s="121"/>
      <c r="AO9" s="121"/>
      <c r="AP9" s="116" t="s">
        <v>107</v>
      </c>
    </row>
    <row r="10" spans="1:42" x14ac:dyDescent="0.25">
      <c r="A10" s="117">
        <v>44405</v>
      </c>
      <c r="B10" s="111"/>
      <c r="C10" s="116">
        <v>4606129</v>
      </c>
      <c r="D10" s="116" t="s">
        <v>92</v>
      </c>
      <c r="E10" s="77">
        <v>11</v>
      </c>
      <c r="F10" s="78">
        <v>649481.18770659599</v>
      </c>
      <c r="G10" s="79">
        <v>5446731.98236458</v>
      </c>
      <c r="H10" s="103" t="s">
        <v>97</v>
      </c>
      <c r="I10" s="77"/>
      <c r="J10" s="104"/>
      <c r="K10" s="116" t="s">
        <v>247</v>
      </c>
      <c r="L10" s="116" t="s">
        <v>99</v>
      </c>
      <c r="M10" s="116" t="s">
        <v>100</v>
      </c>
      <c r="N10" s="114">
        <v>1</v>
      </c>
      <c r="O10" s="114">
        <v>28</v>
      </c>
      <c r="P10" s="116" t="s">
        <v>96</v>
      </c>
      <c r="Q10" s="122"/>
      <c r="R10" s="116" t="s">
        <v>96</v>
      </c>
      <c r="S10" s="116" t="s">
        <v>96</v>
      </c>
      <c r="T10" s="122"/>
      <c r="U10" s="114">
        <v>4</v>
      </c>
      <c r="V10" s="116">
        <v>0.4</v>
      </c>
      <c r="W10" s="114">
        <v>0</v>
      </c>
      <c r="X10" s="116" t="s">
        <v>96</v>
      </c>
      <c r="Y10" s="114">
        <v>1.5</v>
      </c>
      <c r="Z10" s="114">
        <v>0</v>
      </c>
      <c r="AA10" s="116">
        <v>5</v>
      </c>
      <c r="AB10" s="116" t="s">
        <v>96</v>
      </c>
      <c r="AC10" s="116" t="s">
        <v>96</v>
      </c>
      <c r="AD10" s="116" t="s">
        <v>101</v>
      </c>
      <c r="AE10" s="116" t="s">
        <v>102</v>
      </c>
      <c r="AF10" s="22">
        <f t="shared" si="0"/>
        <v>0</v>
      </c>
      <c r="AG10" s="15">
        <f t="shared" si="1"/>
        <v>3</v>
      </c>
      <c r="AH10" s="7">
        <f t="shared" si="2"/>
        <v>10</v>
      </c>
      <c r="AI10" s="7">
        <f t="shared" si="3"/>
        <v>10</v>
      </c>
      <c r="AJ10" s="7">
        <f t="shared" si="4"/>
        <v>5</v>
      </c>
      <c r="AK10" s="12">
        <f t="shared" si="5"/>
        <v>0</v>
      </c>
      <c r="AL10" s="14">
        <f t="shared" si="6"/>
        <v>28</v>
      </c>
      <c r="AM10" s="16" t="str">
        <f t="shared" si="7"/>
        <v>Barrier</v>
      </c>
      <c r="AN10" s="115" t="s">
        <v>292</v>
      </c>
      <c r="AO10" s="114">
        <v>3</v>
      </c>
      <c r="AP10" s="116" t="s">
        <v>106</v>
      </c>
    </row>
    <row r="11" spans="1:42" x14ac:dyDescent="0.25">
      <c r="A11" s="117">
        <v>44406</v>
      </c>
      <c r="B11" s="111"/>
      <c r="C11" s="103">
        <v>4606398</v>
      </c>
      <c r="D11" s="115" t="s">
        <v>92</v>
      </c>
      <c r="E11" s="115">
        <v>11</v>
      </c>
      <c r="F11" s="107">
        <v>665796.07904683799</v>
      </c>
      <c r="G11" s="106">
        <v>5462151.5333950697</v>
      </c>
      <c r="H11" s="103" t="s">
        <v>108</v>
      </c>
      <c r="I11" s="77" t="s">
        <v>112</v>
      </c>
      <c r="J11" s="104"/>
      <c r="K11" s="115" t="s">
        <v>249</v>
      </c>
      <c r="L11" s="116" t="s">
        <v>99</v>
      </c>
      <c r="M11" s="116" t="s">
        <v>100</v>
      </c>
      <c r="N11" s="113">
        <v>1.2</v>
      </c>
      <c r="O11" s="113">
        <v>10</v>
      </c>
      <c r="P11" s="115" t="s">
        <v>96</v>
      </c>
      <c r="Q11" s="123"/>
      <c r="R11" s="115" t="s">
        <v>96</v>
      </c>
      <c r="S11" s="115" t="s">
        <v>96</v>
      </c>
      <c r="T11" s="123"/>
      <c r="U11" s="113">
        <v>0.1</v>
      </c>
      <c r="V11" s="115">
        <v>0</v>
      </c>
      <c r="W11" s="113">
        <v>0.1</v>
      </c>
      <c r="X11" s="115" t="s">
        <v>109</v>
      </c>
      <c r="Y11" s="113">
        <v>1.7</v>
      </c>
      <c r="Z11" s="113">
        <v>2</v>
      </c>
      <c r="AA11" s="115">
        <v>3.8</v>
      </c>
      <c r="AB11" s="115" t="s">
        <v>96</v>
      </c>
      <c r="AC11" s="115" t="s">
        <v>96</v>
      </c>
      <c r="AD11" s="115" t="s">
        <v>101</v>
      </c>
      <c r="AE11" s="115" t="s">
        <v>110</v>
      </c>
      <c r="AF11" s="22">
        <f t="shared" si="0"/>
        <v>1.6666666666666667</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293</v>
      </c>
      <c r="AO11" s="116">
        <v>12</v>
      </c>
      <c r="AP11" s="116" t="s">
        <v>116</v>
      </c>
    </row>
    <row r="12" spans="1:42" ht="30" x14ac:dyDescent="0.25">
      <c r="A12" s="82">
        <v>44406</v>
      </c>
      <c r="B12" s="73"/>
      <c r="C12" s="25">
        <v>4606370</v>
      </c>
      <c r="D12" s="25" t="s">
        <v>92</v>
      </c>
      <c r="E12" s="77">
        <v>11</v>
      </c>
      <c r="F12" s="78">
        <v>664905.14723295497</v>
      </c>
      <c r="G12" s="79">
        <v>5462561.6500481497</v>
      </c>
      <c r="H12" s="77" t="s">
        <v>111</v>
      </c>
      <c r="I12" s="77" t="s">
        <v>112</v>
      </c>
      <c r="J12" s="42"/>
      <c r="K12" s="77" t="s">
        <v>249</v>
      </c>
      <c r="L12" s="25" t="s">
        <v>99</v>
      </c>
      <c r="M12" s="25" t="s">
        <v>100</v>
      </c>
      <c r="N12" s="114">
        <v>2</v>
      </c>
      <c r="O12" s="114">
        <v>1.8</v>
      </c>
      <c r="P12" s="116" t="s">
        <v>96</v>
      </c>
      <c r="Q12" s="121"/>
      <c r="R12" s="116" t="s">
        <v>96</v>
      </c>
      <c r="S12" s="116" t="s">
        <v>96</v>
      </c>
      <c r="T12" s="122"/>
      <c r="U12" s="114">
        <v>1.5</v>
      </c>
      <c r="V12" s="116">
        <v>0</v>
      </c>
      <c r="W12" s="114">
        <v>0.1</v>
      </c>
      <c r="X12" s="116" t="s">
        <v>109</v>
      </c>
      <c r="Y12" s="114">
        <v>0.5</v>
      </c>
      <c r="Z12" s="114">
        <v>3.26</v>
      </c>
      <c r="AA12" s="116">
        <v>2.8</v>
      </c>
      <c r="AB12" s="25" t="s">
        <v>109</v>
      </c>
      <c r="AC12" s="25" t="s">
        <v>109</v>
      </c>
      <c r="AD12" s="116" t="s">
        <v>101</v>
      </c>
      <c r="AE12" s="116" t="s">
        <v>110</v>
      </c>
      <c r="AF12" s="22">
        <f t="shared" ref="AF12:AF72" si="8">IF(ISBLANK(Z12), 0, IF(ISBLANK(N12) &lt; 0, 0,Z12 / N12))</f>
        <v>1.63</v>
      </c>
      <c r="AG12" s="15">
        <f t="shared" si="1"/>
        <v>0</v>
      </c>
      <c r="AH12" s="7">
        <f t="shared" si="2"/>
        <v>10</v>
      </c>
      <c r="AI12" s="7">
        <f t="shared" si="3"/>
        <v>0</v>
      </c>
      <c r="AJ12" s="7">
        <f t="shared" si="4"/>
        <v>0</v>
      </c>
      <c r="AK12" s="12">
        <f t="shared" si="5"/>
        <v>6</v>
      </c>
      <c r="AL12" s="14">
        <f t="shared" ref="AL12:AL70" si="9">AG12 + AH12 + AI12 + AJ12 + AK12</f>
        <v>16</v>
      </c>
      <c r="AM12" s="16" t="str">
        <f t="shared" si="7"/>
        <v>Potential</v>
      </c>
      <c r="AN12" s="116" t="s">
        <v>293</v>
      </c>
      <c r="AO12" s="114">
        <v>12</v>
      </c>
      <c r="AP12" s="25" t="s">
        <v>115</v>
      </c>
    </row>
    <row r="13" spans="1:42" x14ac:dyDescent="0.25">
      <c r="A13" s="82">
        <v>44407</v>
      </c>
      <c r="B13" s="76"/>
      <c r="C13" s="25">
        <v>4603788</v>
      </c>
      <c r="D13" s="25" t="s">
        <v>92</v>
      </c>
      <c r="E13" s="77">
        <v>11</v>
      </c>
      <c r="F13" s="78">
        <v>660450.92373724096</v>
      </c>
      <c r="G13" s="79">
        <v>5461351.9865073301</v>
      </c>
      <c r="H13" s="77" t="s">
        <v>111</v>
      </c>
      <c r="I13" s="77"/>
      <c r="J13" s="80"/>
      <c r="K13" s="77" t="s">
        <v>246</v>
      </c>
      <c r="L13" s="25" t="s">
        <v>113</v>
      </c>
      <c r="M13" s="25" t="s">
        <v>114</v>
      </c>
      <c r="N13" s="122"/>
      <c r="O13" s="122"/>
      <c r="P13" s="121"/>
      <c r="Q13" s="121"/>
      <c r="R13" s="121"/>
      <c r="S13" s="121"/>
      <c r="T13" s="121"/>
      <c r="U13" s="122"/>
      <c r="V13" s="121"/>
      <c r="W13" s="122"/>
      <c r="X13" s="121"/>
      <c r="Y13" s="122"/>
      <c r="Z13" s="122"/>
      <c r="AA13" s="121"/>
      <c r="AB13" s="25"/>
      <c r="AC13" s="25"/>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Unknown</v>
      </c>
      <c r="AN13" s="116"/>
      <c r="AO13" s="114"/>
      <c r="AP13" s="25" t="s">
        <v>117</v>
      </c>
    </row>
    <row r="14" spans="1:42" ht="30" x14ac:dyDescent="0.25">
      <c r="A14" s="82">
        <v>44407</v>
      </c>
      <c r="B14" s="76"/>
      <c r="C14" s="25">
        <v>4603791</v>
      </c>
      <c r="D14" s="25" t="s">
        <v>92</v>
      </c>
      <c r="E14" s="77">
        <v>11</v>
      </c>
      <c r="F14" s="78">
        <v>660586.04160787596</v>
      </c>
      <c r="G14" s="79">
        <v>5461226.9931606399</v>
      </c>
      <c r="H14" s="77" t="s">
        <v>118</v>
      </c>
      <c r="I14" s="77"/>
      <c r="J14" s="80"/>
      <c r="K14" s="77" t="s">
        <v>246</v>
      </c>
      <c r="L14" s="25" t="s">
        <v>113</v>
      </c>
      <c r="M14" s="25" t="s">
        <v>114</v>
      </c>
      <c r="N14" s="122"/>
      <c r="O14" s="122"/>
      <c r="P14" s="121"/>
      <c r="Q14" s="121"/>
      <c r="R14" s="121"/>
      <c r="S14" s="121"/>
      <c r="T14" s="121"/>
      <c r="U14" s="122"/>
      <c r="V14" s="121"/>
      <c r="W14" s="122"/>
      <c r="X14" s="121"/>
      <c r="Y14" s="122"/>
      <c r="Z14" s="122"/>
      <c r="AA14" s="121"/>
      <c r="AB14" s="25"/>
      <c r="AC14" s="25"/>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Unknown</v>
      </c>
      <c r="AN14" s="116"/>
      <c r="AO14" s="114"/>
      <c r="AP14" s="25" t="s">
        <v>119</v>
      </c>
    </row>
    <row r="15" spans="1:42" ht="30" x14ac:dyDescent="0.25">
      <c r="A15" s="82">
        <v>44407</v>
      </c>
      <c r="B15" s="76"/>
      <c r="C15" s="25">
        <v>4606411</v>
      </c>
      <c r="D15" s="25" t="s">
        <v>92</v>
      </c>
      <c r="E15" s="77">
        <v>11</v>
      </c>
      <c r="F15" s="78">
        <v>658765.03529155604</v>
      </c>
      <c r="G15" s="79">
        <v>5459547.05802463</v>
      </c>
      <c r="H15" s="77" t="s">
        <v>118</v>
      </c>
      <c r="I15" s="77"/>
      <c r="J15" s="80"/>
      <c r="K15" s="77" t="s">
        <v>250</v>
      </c>
      <c r="L15" s="25" t="s">
        <v>113</v>
      </c>
      <c r="M15" s="25" t="s">
        <v>114</v>
      </c>
      <c r="N15" s="122"/>
      <c r="O15" s="122"/>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Unknown</v>
      </c>
      <c r="AN15" s="116"/>
      <c r="AO15" s="114"/>
      <c r="AP15" s="25" t="s">
        <v>123</v>
      </c>
    </row>
    <row r="16" spans="1:42" ht="30" x14ac:dyDescent="0.25">
      <c r="A16" s="82">
        <v>44407</v>
      </c>
      <c r="B16" s="76"/>
      <c r="C16" s="25">
        <v>24706666</v>
      </c>
      <c r="D16" s="25" t="s">
        <v>92</v>
      </c>
      <c r="E16" s="77">
        <v>11</v>
      </c>
      <c r="F16" s="78">
        <v>658955.91629588103</v>
      </c>
      <c r="G16" s="79">
        <v>5461096.50056988</v>
      </c>
      <c r="H16" s="77" t="s">
        <v>111</v>
      </c>
      <c r="I16" s="77"/>
      <c r="J16" s="80"/>
      <c r="K16" s="77" t="s">
        <v>250</v>
      </c>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120</v>
      </c>
    </row>
    <row r="17" spans="1:42" ht="30" x14ac:dyDescent="0.25">
      <c r="A17" s="82">
        <v>44407</v>
      </c>
      <c r="B17" s="76"/>
      <c r="C17" s="25">
        <v>4605499</v>
      </c>
      <c r="D17" s="25" t="s">
        <v>92</v>
      </c>
      <c r="E17" s="77">
        <v>11</v>
      </c>
      <c r="F17" s="78">
        <v>650057.06261870603</v>
      </c>
      <c r="G17" s="79">
        <v>5463542.9523483003</v>
      </c>
      <c r="H17" s="77" t="s">
        <v>121</v>
      </c>
      <c r="I17" s="77" t="s">
        <v>122</v>
      </c>
      <c r="J17" s="80"/>
      <c r="K17" s="77" t="s">
        <v>249</v>
      </c>
      <c r="L17" s="25" t="s">
        <v>94</v>
      </c>
      <c r="M17" s="25" t="s">
        <v>95</v>
      </c>
      <c r="N17" s="114">
        <v>8</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ht="30" x14ac:dyDescent="0.25">
      <c r="A18" s="82">
        <v>44407</v>
      </c>
      <c r="B18" s="76"/>
      <c r="C18" s="25">
        <v>4606347</v>
      </c>
      <c r="D18" s="25" t="s">
        <v>92</v>
      </c>
      <c r="E18" s="77">
        <v>11</v>
      </c>
      <c r="F18" s="78">
        <v>650414.60798293003</v>
      </c>
      <c r="G18" s="79">
        <v>5463818.8277886296</v>
      </c>
      <c r="H18" s="77" t="s">
        <v>125</v>
      </c>
      <c r="I18" s="77" t="s">
        <v>126</v>
      </c>
      <c r="J18" s="80"/>
      <c r="K18" s="77" t="s">
        <v>249</v>
      </c>
      <c r="L18" s="25" t="s">
        <v>99</v>
      </c>
      <c r="M18" s="25" t="s">
        <v>100</v>
      </c>
      <c r="N18" s="114">
        <v>1.5</v>
      </c>
      <c r="O18" s="114">
        <v>14</v>
      </c>
      <c r="P18" s="116" t="s">
        <v>96</v>
      </c>
      <c r="Q18" s="121"/>
      <c r="R18" s="116" t="s">
        <v>96</v>
      </c>
      <c r="S18" s="116" t="s">
        <v>96</v>
      </c>
      <c r="T18" s="122"/>
      <c r="U18" s="114">
        <v>1</v>
      </c>
      <c r="V18" s="116">
        <v>0</v>
      </c>
      <c r="W18" s="114">
        <v>0.2</v>
      </c>
      <c r="X18" s="116" t="s">
        <v>96</v>
      </c>
      <c r="Y18" s="114">
        <v>2.5</v>
      </c>
      <c r="Z18" s="114">
        <v>5.3</v>
      </c>
      <c r="AA18" s="116">
        <v>2.7</v>
      </c>
      <c r="AB18" s="25" t="s">
        <v>96</v>
      </c>
      <c r="AC18" s="25" t="s">
        <v>96</v>
      </c>
      <c r="AD18" s="116" t="s">
        <v>101</v>
      </c>
      <c r="AE18" s="116" t="s">
        <v>102</v>
      </c>
      <c r="AF18" s="22">
        <f t="shared" si="8"/>
        <v>3.5333333333333332</v>
      </c>
      <c r="AG18" s="15">
        <f t="shared" si="1"/>
        <v>0</v>
      </c>
      <c r="AH18" s="7">
        <f t="shared" si="2"/>
        <v>10</v>
      </c>
      <c r="AI18" s="7">
        <f t="shared" si="3"/>
        <v>0</v>
      </c>
      <c r="AJ18" s="7">
        <f t="shared" si="4"/>
        <v>5</v>
      </c>
      <c r="AK18" s="12">
        <f t="shared" si="5"/>
        <v>6</v>
      </c>
      <c r="AL18" s="14">
        <f t="shared" si="9"/>
        <v>21</v>
      </c>
      <c r="AM18" s="16" t="str">
        <f t="shared" si="7"/>
        <v>Barrier</v>
      </c>
      <c r="AN18" s="116" t="s">
        <v>293</v>
      </c>
      <c r="AO18" s="114">
        <v>12</v>
      </c>
      <c r="AP18" s="25" t="s">
        <v>127</v>
      </c>
    </row>
    <row r="19" spans="1:42" ht="30" x14ac:dyDescent="0.25">
      <c r="A19" s="82">
        <v>44407</v>
      </c>
      <c r="B19" s="76"/>
      <c r="C19" s="25">
        <v>4603480</v>
      </c>
      <c r="D19" s="25" t="s">
        <v>92</v>
      </c>
      <c r="E19" s="77">
        <v>11</v>
      </c>
      <c r="F19" s="78">
        <v>650539.03961957199</v>
      </c>
      <c r="G19" s="79">
        <v>5464640.0991224404</v>
      </c>
      <c r="H19" s="77" t="s">
        <v>125</v>
      </c>
      <c r="I19" s="77" t="s">
        <v>128</v>
      </c>
      <c r="J19" s="42"/>
      <c r="K19" s="77" t="s">
        <v>246</v>
      </c>
      <c r="L19" s="25" t="s">
        <v>94</v>
      </c>
      <c r="M19" s="25" t="s">
        <v>95</v>
      </c>
      <c r="N19" s="114">
        <v>14</v>
      </c>
      <c r="O19" s="114">
        <v>5</v>
      </c>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Passable</v>
      </c>
      <c r="AN19" s="121"/>
      <c r="AO19" s="122"/>
      <c r="AP19" s="25" t="s">
        <v>129</v>
      </c>
    </row>
    <row r="20" spans="1:42" x14ac:dyDescent="0.25">
      <c r="A20" s="82">
        <v>44466</v>
      </c>
      <c r="B20" s="76"/>
      <c r="C20" s="25">
        <v>24733953</v>
      </c>
      <c r="D20" s="25" t="s">
        <v>130</v>
      </c>
      <c r="E20" s="77">
        <v>11</v>
      </c>
      <c r="F20" s="78">
        <v>652220.75833870005</v>
      </c>
      <c r="G20" s="79">
        <v>5461435.2955965698</v>
      </c>
      <c r="H20" s="25" t="s">
        <v>118</v>
      </c>
      <c r="I20" s="77" t="s">
        <v>131</v>
      </c>
      <c r="J20" s="42"/>
      <c r="K20" s="77" t="s">
        <v>248</v>
      </c>
      <c r="L20" s="25" t="s">
        <v>94</v>
      </c>
      <c r="M20" s="25" t="s">
        <v>95</v>
      </c>
      <c r="N20" s="114">
        <v>18</v>
      </c>
      <c r="O20" s="114">
        <v>5</v>
      </c>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Passable</v>
      </c>
      <c r="AN20" s="121"/>
      <c r="AO20" s="121"/>
      <c r="AP20" s="25" t="s">
        <v>132</v>
      </c>
    </row>
    <row r="21" spans="1:42" x14ac:dyDescent="0.25">
      <c r="A21" s="117">
        <v>44466</v>
      </c>
      <c r="B21" s="76"/>
      <c r="C21" s="116">
        <v>4601984</v>
      </c>
      <c r="D21" s="116" t="s">
        <v>130</v>
      </c>
      <c r="E21" s="25">
        <v>11</v>
      </c>
      <c r="F21" s="75">
        <v>654301.67654856504</v>
      </c>
      <c r="G21" s="81">
        <v>5458678.3538345201</v>
      </c>
      <c r="H21" s="116" t="s">
        <v>118</v>
      </c>
      <c r="I21" s="116" t="s">
        <v>131</v>
      </c>
      <c r="J21" s="42"/>
      <c r="K21" s="25" t="s">
        <v>246</v>
      </c>
      <c r="L21" s="116" t="s">
        <v>99</v>
      </c>
      <c r="M21" s="116" t="s">
        <v>100</v>
      </c>
      <c r="N21" s="114">
        <v>1.6</v>
      </c>
      <c r="O21" s="114">
        <v>14</v>
      </c>
      <c r="P21" s="116" t="s">
        <v>96</v>
      </c>
      <c r="Q21" s="122"/>
      <c r="R21" s="116" t="s">
        <v>96</v>
      </c>
      <c r="S21" s="116" t="s">
        <v>96</v>
      </c>
      <c r="T21" s="122"/>
      <c r="U21" s="114">
        <v>2</v>
      </c>
      <c r="V21" s="116">
        <v>0.6</v>
      </c>
      <c r="W21" s="114">
        <v>0.8</v>
      </c>
      <c r="X21" s="116" t="s">
        <v>109</v>
      </c>
      <c r="Y21" s="114">
        <v>5</v>
      </c>
      <c r="Z21" s="114">
        <v>3.8</v>
      </c>
      <c r="AA21" s="116">
        <v>8.5</v>
      </c>
      <c r="AB21" s="25" t="s">
        <v>96</v>
      </c>
      <c r="AC21" s="25" t="s">
        <v>96</v>
      </c>
      <c r="AD21" s="116" t="s">
        <v>101</v>
      </c>
      <c r="AE21" s="116" t="s">
        <v>102</v>
      </c>
      <c r="AF21" s="22">
        <f t="shared" si="8"/>
        <v>2.3749999999999996</v>
      </c>
      <c r="AG21" s="15">
        <f t="shared" si="1"/>
        <v>0</v>
      </c>
      <c r="AH21" s="7">
        <f t="shared" si="2"/>
        <v>10</v>
      </c>
      <c r="AI21" s="7">
        <f t="shared" si="3"/>
        <v>10</v>
      </c>
      <c r="AJ21" s="7">
        <f t="shared" si="4"/>
        <v>10</v>
      </c>
      <c r="AK21" s="12">
        <f t="shared" si="5"/>
        <v>6</v>
      </c>
      <c r="AL21" s="14">
        <f t="shared" si="9"/>
        <v>36</v>
      </c>
      <c r="AM21" s="16" t="str">
        <f t="shared" si="7"/>
        <v>Barrier</v>
      </c>
      <c r="AN21" s="116" t="s">
        <v>293</v>
      </c>
      <c r="AO21" s="114">
        <v>12</v>
      </c>
      <c r="AP21" s="25" t="s">
        <v>133</v>
      </c>
    </row>
    <row r="22" spans="1:42" ht="30" x14ac:dyDescent="0.25">
      <c r="A22" s="82">
        <v>44467</v>
      </c>
      <c r="B22" s="76"/>
      <c r="C22" s="25">
        <v>4606926</v>
      </c>
      <c r="D22" s="25" t="s">
        <v>130</v>
      </c>
      <c r="E22" s="77">
        <v>11</v>
      </c>
      <c r="F22" s="78">
        <v>663230.00627941301</v>
      </c>
      <c r="G22" s="79">
        <v>5447428.9637376796</v>
      </c>
      <c r="H22" s="77" t="s">
        <v>134</v>
      </c>
      <c r="I22" s="77" t="s">
        <v>131</v>
      </c>
      <c r="J22" s="80"/>
      <c r="K22" s="77" t="s">
        <v>246</v>
      </c>
      <c r="L22" s="25" t="s">
        <v>113</v>
      </c>
      <c r="M22" s="25" t="s">
        <v>114</v>
      </c>
      <c r="N22" s="122"/>
      <c r="O22" s="122"/>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Unknown</v>
      </c>
      <c r="AN22" s="116"/>
      <c r="AO22" s="114"/>
      <c r="AP22" s="25" t="s">
        <v>278</v>
      </c>
    </row>
    <row r="23" spans="1:42" ht="30" x14ac:dyDescent="0.25">
      <c r="A23" s="82">
        <v>44467</v>
      </c>
      <c r="B23" s="76"/>
      <c r="C23" s="25">
        <v>4605518</v>
      </c>
      <c r="D23" s="25" t="s">
        <v>130</v>
      </c>
      <c r="E23" s="77">
        <v>11</v>
      </c>
      <c r="F23" s="78">
        <v>664404.58371790894</v>
      </c>
      <c r="G23" s="79">
        <v>5445263.0012849802</v>
      </c>
      <c r="H23" s="77" t="s">
        <v>134</v>
      </c>
      <c r="I23" s="77" t="s">
        <v>135</v>
      </c>
      <c r="J23" s="80"/>
      <c r="K23" s="77" t="s">
        <v>249</v>
      </c>
      <c r="L23" s="25" t="s">
        <v>99</v>
      </c>
      <c r="M23" s="25" t="s">
        <v>100</v>
      </c>
      <c r="N23" s="114">
        <v>0.6</v>
      </c>
      <c r="O23" s="114">
        <v>11</v>
      </c>
      <c r="P23" s="116" t="s">
        <v>96</v>
      </c>
      <c r="Q23" s="122"/>
      <c r="R23" s="116" t="s">
        <v>96</v>
      </c>
      <c r="S23" s="116" t="s">
        <v>96</v>
      </c>
      <c r="T23" s="122"/>
      <c r="U23" s="114">
        <v>1</v>
      </c>
      <c r="V23" s="116">
        <v>0.6</v>
      </c>
      <c r="W23" s="114">
        <v>0</v>
      </c>
      <c r="X23" s="116" t="s">
        <v>96</v>
      </c>
      <c r="Y23" s="114">
        <v>4</v>
      </c>
      <c r="Z23" s="114">
        <v>1</v>
      </c>
      <c r="AA23" s="116">
        <v>4</v>
      </c>
      <c r="AB23" s="25" t="s">
        <v>96</v>
      </c>
      <c r="AC23" s="25" t="s">
        <v>96</v>
      </c>
      <c r="AD23" s="116" t="s">
        <v>101</v>
      </c>
      <c r="AE23" s="116" t="s">
        <v>102</v>
      </c>
      <c r="AF23" s="22">
        <f t="shared" si="8"/>
        <v>1.6666666666666667</v>
      </c>
      <c r="AG23" s="15">
        <f t="shared" si="1"/>
        <v>0</v>
      </c>
      <c r="AH23" s="7">
        <f t="shared" si="2"/>
        <v>10</v>
      </c>
      <c r="AI23" s="7">
        <f t="shared" si="3"/>
        <v>10</v>
      </c>
      <c r="AJ23" s="7">
        <f t="shared" si="4"/>
        <v>10</v>
      </c>
      <c r="AK23" s="12">
        <f t="shared" si="5"/>
        <v>6</v>
      </c>
      <c r="AL23" s="14">
        <f t="shared" si="9"/>
        <v>36</v>
      </c>
      <c r="AM23" s="16" t="str">
        <f t="shared" si="7"/>
        <v>Barrier</v>
      </c>
      <c r="AN23" s="116" t="s">
        <v>292</v>
      </c>
      <c r="AO23" s="114">
        <v>3</v>
      </c>
      <c r="AP23" s="25" t="s">
        <v>136</v>
      </c>
    </row>
    <row r="24" spans="1:42" ht="30" x14ac:dyDescent="0.25">
      <c r="A24" s="82">
        <v>44467</v>
      </c>
      <c r="B24" s="76"/>
      <c r="C24" s="25">
        <v>4605522</v>
      </c>
      <c r="D24" s="25" t="s">
        <v>130</v>
      </c>
      <c r="E24" s="77">
        <v>11</v>
      </c>
      <c r="F24" s="78">
        <v>664642.09353124397</v>
      </c>
      <c r="G24" s="79">
        <v>5444852.4191586301</v>
      </c>
      <c r="H24" s="77" t="s">
        <v>134</v>
      </c>
      <c r="I24" s="77" t="s">
        <v>135</v>
      </c>
      <c r="J24" s="80"/>
      <c r="K24" s="77" t="s">
        <v>249</v>
      </c>
      <c r="L24" s="25" t="s">
        <v>99</v>
      </c>
      <c r="M24" s="25" t="s">
        <v>100</v>
      </c>
      <c r="N24" s="114">
        <v>0.6</v>
      </c>
      <c r="O24" s="114">
        <v>16</v>
      </c>
      <c r="P24" s="116" t="s">
        <v>96</v>
      </c>
      <c r="Q24" s="122"/>
      <c r="R24" s="116" t="s">
        <v>96</v>
      </c>
      <c r="S24" s="116" t="s">
        <v>96</v>
      </c>
      <c r="T24" s="122"/>
      <c r="U24" s="114">
        <v>3</v>
      </c>
      <c r="V24" s="116">
        <v>1.2</v>
      </c>
      <c r="W24" s="114">
        <v>0.2</v>
      </c>
      <c r="X24" s="116" t="s">
        <v>96</v>
      </c>
      <c r="Y24" s="114">
        <v>5</v>
      </c>
      <c r="Z24" s="114">
        <v>1.3</v>
      </c>
      <c r="AA24" s="116">
        <v>9</v>
      </c>
      <c r="AB24" s="25" t="s">
        <v>96</v>
      </c>
      <c r="AC24" s="25" t="s">
        <v>96</v>
      </c>
      <c r="AD24" s="116" t="s">
        <v>101</v>
      </c>
      <c r="AE24" s="116" t="s">
        <v>102</v>
      </c>
      <c r="AF24" s="22">
        <f t="shared" si="8"/>
        <v>2.166666666666667</v>
      </c>
      <c r="AG24" s="15">
        <f t="shared" si="1"/>
        <v>3</v>
      </c>
      <c r="AH24" s="7">
        <f t="shared" si="2"/>
        <v>10</v>
      </c>
      <c r="AI24" s="7">
        <f t="shared" si="3"/>
        <v>10</v>
      </c>
      <c r="AJ24" s="7">
        <f t="shared" si="4"/>
        <v>10</v>
      </c>
      <c r="AK24" s="12">
        <f t="shared" si="5"/>
        <v>6</v>
      </c>
      <c r="AL24" s="14">
        <f t="shared" si="9"/>
        <v>39</v>
      </c>
      <c r="AM24" s="16" t="str">
        <f t="shared" si="7"/>
        <v>Barrier</v>
      </c>
      <c r="AN24" s="116" t="s">
        <v>292</v>
      </c>
      <c r="AO24" s="114">
        <v>3</v>
      </c>
      <c r="AP24" s="25" t="s">
        <v>138</v>
      </c>
    </row>
    <row r="25" spans="1:42" ht="30" x14ac:dyDescent="0.25">
      <c r="A25" s="82">
        <v>44467</v>
      </c>
      <c r="B25" s="76"/>
      <c r="C25" s="25">
        <v>4605525</v>
      </c>
      <c r="D25" s="25" t="s">
        <v>130</v>
      </c>
      <c r="E25" s="77">
        <v>11</v>
      </c>
      <c r="F25" s="78">
        <v>660106.94048601505</v>
      </c>
      <c r="G25" s="79">
        <v>5450957.9464698602</v>
      </c>
      <c r="H25" s="77" t="s">
        <v>134</v>
      </c>
      <c r="I25" s="77" t="s">
        <v>135</v>
      </c>
      <c r="J25" s="80"/>
      <c r="K25" s="77" t="s">
        <v>249</v>
      </c>
      <c r="L25" s="25" t="s">
        <v>99</v>
      </c>
      <c r="M25" s="25" t="s">
        <v>100</v>
      </c>
      <c r="N25" s="114">
        <v>1.75</v>
      </c>
      <c r="O25" s="114">
        <v>17</v>
      </c>
      <c r="P25" s="116" t="s">
        <v>96</v>
      </c>
      <c r="Q25" s="122"/>
      <c r="R25" s="116" t="s">
        <v>96</v>
      </c>
      <c r="S25" s="116" t="s">
        <v>96</v>
      </c>
      <c r="T25" s="122"/>
      <c r="U25" s="114">
        <v>2.5</v>
      </c>
      <c r="V25" s="116">
        <v>1.5</v>
      </c>
      <c r="W25" s="114">
        <v>0</v>
      </c>
      <c r="X25" s="116" t="s">
        <v>109</v>
      </c>
      <c r="Y25" s="114">
        <v>7</v>
      </c>
      <c r="Z25" s="114">
        <v>1.9</v>
      </c>
      <c r="AA25" s="116">
        <v>15</v>
      </c>
      <c r="AB25" s="25" t="s">
        <v>96</v>
      </c>
      <c r="AC25" s="25" t="s">
        <v>96</v>
      </c>
      <c r="AD25" s="116" t="s">
        <v>101</v>
      </c>
      <c r="AE25" s="116" t="s">
        <v>110</v>
      </c>
      <c r="AF25" s="22">
        <f t="shared" si="8"/>
        <v>1.0857142857142856</v>
      </c>
      <c r="AG25" s="15">
        <f t="shared" si="1"/>
        <v>3</v>
      </c>
      <c r="AH25" s="7">
        <f t="shared" si="2"/>
        <v>10</v>
      </c>
      <c r="AI25" s="7">
        <f t="shared" si="3"/>
        <v>10</v>
      </c>
      <c r="AJ25" s="7">
        <f t="shared" si="4"/>
        <v>10</v>
      </c>
      <c r="AK25" s="12">
        <f t="shared" si="5"/>
        <v>3</v>
      </c>
      <c r="AL25" s="14">
        <f t="shared" si="9"/>
        <v>36</v>
      </c>
      <c r="AM25" s="16" t="str">
        <f t="shared" si="7"/>
        <v>Barrier</v>
      </c>
      <c r="AN25" s="116" t="s">
        <v>292</v>
      </c>
      <c r="AO25" s="114">
        <v>3</v>
      </c>
      <c r="AP25" s="25" t="s">
        <v>137</v>
      </c>
    </row>
    <row r="26" spans="1:42" ht="30" x14ac:dyDescent="0.25">
      <c r="A26" s="82">
        <v>44467</v>
      </c>
      <c r="B26" s="76"/>
      <c r="C26" s="25">
        <v>4603688</v>
      </c>
      <c r="D26" s="25" t="s">
        <v>130</v>
      </c>
      <c r="E26" s="77">
        <v>11</v>
      </c>
      <c r="F26" s="78">
        <v>658119.97860523604</v>
      </c>
      <c r="G26" s="79">
        <v>5452871.9345996296</v>
      </c>
      <c r="H26" s="77" t="s">
        <v>134</v>
      </c>
      <c r="I26" s="77" t="s">
        <v>135</v>
      </c>
      <c r="J26" s="80"/>
      <c r="K26" s="77" t="s">
        <v>246</v>
      </c>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139</v>
      </c>
    </row>
    <row r="27" spans="1:42" ht="30" x14ac:dyDescent="0.25">
      <c r="A27" s="82">
        <v>44467</v>
      </c>
      <c r="B27" s="76"/>
      <c r="C27" s="25">
        <v>4605540</v>
      </c>
      <c r="D27" s="25" t="s">
        <v>130</v>
      </c>
      <c r="E27" s="77">
        <v>11</v>
      </c>
      <c r="F27" s="78">
        <v>654192.92741752602</v>
      </c>
      <c r="G27" s="79">
        <v>5452980.3649785696</v>
      </c>
      <c r="H27" s="77" t="s">
        <v>134</v>
      </c>
      <c r="I27" s="77" t="s">
        <v>135</v>
      </c>
      <c r="J27" s="80"/>
      <c r="K27" s="77" t="s">
        <v>249</v>
      </c>
      <c r="L27" s="25" t="s">
        <v>99</v>
      </c>
      <c r="M27" s="25" t="s">
        <v>100</v>
      </c>
      <c r="N27" s="114">
        <v>0.9</v>
      </c>
      <c r="O27" s="114">
        <v>12.5</v>
      </c>
      <c r="P27" s="116" t="s">
        <v>96</v>
      </c>
      <c r="Q27" s="122"/>
      <c r="R27" s="116" t="s">
        <v>96</v>
      </c>
      <c r="S27" s="116" t="s">
        <v>96</v>
      </c>
      <c r="T27" s="122"/>
      <c r="U27" s="114">
        <v>1</v>
      </c>
      <c r="V27" s="116">
        <v>0.13</v>
      </c>
      <c r="W27" s="114">
        <v>0</v>
      </c>
      <c r="X27" s="116" t="s">
        <v>96</v>
      </c>
      <c r="Y27" s="114">
        <v>2.5</v>
      </c>
      <c r="Z27" s="114">
        <v>1.6</v>
      </c>
      <c r="AA27" s="116">
        <v>11</v>
      </c>
      <c r="AB27" s="25" t="s">
        <v>96</v>
      </c>
      <c r="AC27" s="25" t="s">
        <v>96</v>
      </c>
      <c r="AD27" s="116" t="s">
        <v>101</v>
      </c>
      <c r="AE27" s="116" t="s">
        <v>102</v>
      </c>
      <c r="AF27" s="22">
        <f t="shared" si="8"/>
        <v>1.7777777777777779</v>
      </c>
      <c r="AG27" s="15">
        <f t="shared" si="1"/>
        <v>0</v>
      </c>
      <c r="AH27" s="7">
        <f t="shared" si="2"/>
        <v>10</v>
      </c>
      <c r="AI27" s="7">
        <f t="shared" si="3"/>
        <v>0</v>
      </c>
      <c r="AJ27" s="7">
        <f t="shared" si="4"/>
        <v>5</v>
      </c>
      <c r="AK27" s="12">
        <f t="shared" si="5"/>
        <v>6</v>
      </c>
      <c r="AL27" s="14">
        <f t="shared" si="9"/>
        <v>21</v>
      </c>
      <c r="AM27" s="16" t="str">
        <f t="shared" si="7"/>
        <v>Barrier</v>
      </c>
      <c r="AN27" s="116" t="s">
        <v>292</v>
      </c>
      <c r="AO27" s="114">
        <v>3</v>
      </c>
      <c r="AP27" s="25" t="s">
        <v>140</v>
      </c>
    </row>
    <row r="28" spans="1:42" ht="30" x14ac:dyDescent="0.25">
      <c r="A28" s="117">
        <v>44468</v>
      </c>
      <c r="B28" s="76"/>
      <c r="C28" s="116">
        <v>4602514</v>
      </c>
      <c r="D28" s="116" t="s">
        <v>130</v>
      </c>
      <c r="E28" s="77">
        <v>11</v>
      </c>
      <c r="F28" s="78">
        <v>659392.99957682902</v>
      </c>
      <c r="G28" s="79">
        <v>5517829.9995318204</v>
      </c>
      <c r="H28" s="77" t="s">
        <v>141</v>
      </c>
      <c r="I28" s="77"/>
      <c r="J28" s="80"/>
      <c r="K28" s="77" t="s">
        <v>251</v>
      </c>
      <c r="L28" s="116" t="s">
        <v>113</v>
      </c>
      <c r="M28" s="116" t="s">
        <v>114</v>
      </c>
      <c r="N28" s="122"/>
      <c r="O28" s="122"/>
      <c r="P28" s="121"/>
      <c r="Q28" s="122"/>
      <c r="R28" s="121"/>
      <c r="S28" s="121"/>
      <c r="T28" s="122"/>
      <c r="U28" s="122"/>
      <c r="V28" s="121"/>
      <c r="W28" s="122"/>
      <c r="X28" s="121"/>
      <c r="Y28" s="122"/>
      <c r="Z28" s="122"/>
      <c r="AA28" s="121"/>
      <c r="AB28" s="116"/>
      <c r="AC28" s="116"/>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Unknown</v>
      </c>
      <c r="AN28" s="116"/>
      <c r="AO28" s="114"/>
      <c r="AP28" s="116" t="s">
        <v>264</v>
      </c>
    </row>
    <row r="29" spans="1:42" ht="30" x14ac:dyDescent="0.25">
      <c r="A29" s="117">
        <v>44469</v>
      </c>
      <c r="B29" s="76"/>
      <c r="C29" s="25">
        <v>4606350</v>
      </c>
      <c r="D29" s="25" t="s">
        <v>130</v>
      </c>
      <c r="E29" s="77">
        <v>11</v>
      </c>
      <c r="F29" s="78">
        <v>668801.06108594302</v>
      </c>
      <c r="G29" s="79">
        <v>5458711.9477857202</v>
      </c>
      <c r="H29" s="77" t="s">
        <v>143</v>
      </c>
      <c r="I29" s="77" t="s">
        <v>131</v>
      </c>
      <c r="J29" s="80"/>
      <c r="K29" s="77" t="s">
        <v>249</v>
      </c>
      <c r="L29" s="25" t="s">
        <v>113</v>
      </c>
      <c r="M29" s="25" t="s">
        <v>114</v>
      </c>
      <c r="N29" s="122"/>
      <c r="O29" s="122"/>
      <c r="P29" s="121"/>
      <c r="Q29" s="122"/>
      <c r="R29" s="121"/>
      <c r="S29" s="121"/>
      <c r="T29" s="122"/>
      <c r="U29" s="122"/>
      <c r="V29" s="121"/>
      <c r="W29" s="122"/>
      <c r="X29" s="121"/>
      <c r="Y29" s="122"/>
      <c r="Z29" s="122"/>
      <c r="AA29" s="121"/>
      <c r="AB29" s="25"/>
      <c r="AC29" s="25"/>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Unknown</v>
      </c>
      <c r="AN29" s="116"/>
      <c r="AO29" s="114"/>
      <c r="AP29" s="25" t="s">
        <v>144</v>
      </c>
    </row>
    <row r="30" spans="1:42" ht="30" x14ac:dyDescent="0.25">
      <c r="A30" s="82">
        <v>44468</v>
      </c>
      <c r="B30" s="76"/>
      <c r="C30" s="25">
        <v>4601280</v>
      </c>
      <c r="D30" s="25" t="s">
        <v>130</v>
      </c>
      <c r="E30" s="77">
        <v>11</v>
      </c>
      <c r="F30" s="78">
        <v>659427.04765302397</v>
      </c>
      <c r="G30" s="79">
        <v>5517583.0179542797</v>
      </c>
      <c r="H30" s="77" t="s">
        <v>141</v>
      </c>
      <c r="I30" s="77" t="s">
        <v>145</v>
      </c>
      <c r="J30" s="80"/>
      <c r="K30" s="77" t="s">
        <v>251</v>
      </c>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142</v>
      </c>
    </row>
    <row r="31" spans="1:42" ht="30" x14ac:dyDescent="0.25">
      <c r="A31" s="82">
        <v>44469</v>
      </c>
      <c r="B31" s="76"/>
      <c r="C31" s="25">
        <v>4601687</v>
      </c>
      <c r="D31" s="25" t="s">
        <v>130</v>
      </c>
      <c r="E31" s="77">
        <v>11</v>
      </c>
      <c r="F31" s="78">
        <v>670842.95842770196</v>
      </c>
      <c r="G31" s="79">
        <v>5469802.0330197196</v>
      </c>
      <c r="H31" s="77" t="s">
        <v>146</v>
      </c>
      <c r="I31" s="77" t="s">
        <v>131</v>
      </c>
      <c r="J31" s="80"/>
      <c r="K31" s="77" t="s">
        <v>246</v>
      </c>
      <c r="L31" s="25" t="s">
        <v>113</v>
      </c>
      <c r="M31" s="25" t="s">
        <v>114</v>
      </c>
      <c r="N31" s="122"/>
      <c r="O31" s="122"/>
      <c r="P31" s="121"/>
      <c r="Q31" s="122"/>
      <c r="R31" s="121"/>
      <c r="S31" s="121"/>
      <c r="T31" s="122"/>
      <c r="U31" s="122"/>
      <c r="V31" s="121"/>
      <c r="W31" s="122"/>
      <c r="X31" s="121"/>
      <c r="Y31" s="122"/>
      <c r="Z31" s="122"/>
      <c r="AA31" s="121"/>
      <c r="AB31" s="25"/>
      <c r="AC31" s="25"/>
      <c r="AD31" s="121"/>
      <c r="AE31" s="121"/>
      <c r="AF31" s="22">
        <f t="shared" si="8"/>
        <v>0</v>
      </c>
      <c r="AG31" s="15">
        <f t="shared" si="1"/>
        <v>0</v>
      </c>
      <c r="AH31" s="7">
        <f t="shared" si="2"/>
        <v>0</v>
      </c>
      <c r="AI31" s="7">
        <f t="shared" si="3"/>
        <v>0</v>
      </c>
      <c r="AJ31" s="7">
        <f t="shared" si="4"/>
        <v>0</v>
      </c>
      <c r="AK31" s="12">
        <f t="shared" si="5"/>
        <v>0</v>
      </c>
      <c r="AL31" s="14">
        <f t="shared" si="9"/>
        <v>0</v>
      </c>
      <c r="AM31" s="16" t="str">
        <f t="shared" si="7"/>
        <v>Unknown</v>
      </c>
      <c r="AN31" s="116"/>
      <c r="AO31" s="114"/>
      <c r="AP31" s="25" t="s">
        <v>147</v>
      </c>
    </row>
    <row r="32" spans="1:42" ht="30" x14ac:dyDescent="0.25">
      <c r="A32" s="82">
        <v>44470</v>
      </c>
      <c r="B32" s="76"/>
      <c r="C32" s="25">
        <v>4605451</v>
      </c>
      <c r="D32" s="25" t="s">
        <v>130</v>
      </c>
      <c r="E32" s="77">
        <v>11</v>
      </c>
      <c r="F32" s="78">
        <v>686581.29755864898</v>
      </c>
      <c r="G32" s="79">
        <v>5436976.0123871602</v>
      </c>
      <c r="H32" s="77" t="s">
        <v>148</v>
      </c>
      <c r="I32" s="77" t="s">
        <v>149</v>
      </c>
      <c r="J32" s="80"/>
      <c r="K32" s="77" t="s">
        <v>252</v>
      </c>
      <c r="L32" s="25" t="s">
        <v>94</v>
      </c>
      <c r="M32" s="25" t="s">
        <v>150</v>
      </c>
      <c r="N32" s="114">
        <v>1.8</v>
      </c>
      <c r="O32" s="114">
        <v>15</v>
      </c>
      <c r="P32" s="121"/>
      <c r="Q32" s="122"/>
      <c r="R32" s="121"/>
      <c r="S32" s="121"/>
      <c r="T32" s="122"/>
      <c r="U32" s="122"/>
      <c r="V32" s="121"/>
      <c r="W32" s="122"/>
      <c r="X32" s="121"/>
      <c r="Y32" s="122"/>
      <c r="Z32" s="122"/>
      <c r="AA32" s="121"/>
      <c r="AB32" s="25"/>
      <c r="AC32" s="25"/>
      <c r="AD32" s="121"/>
      <c r="AE32" s="121"/>
      <c r="AF32" s="22">
        <f t="shared" si="8"/>
        <v>0</v>
      </c>
      <c r="AG32" s="15">
        <f t="shared" si="1"/>
        <v>3</v>
      </c>
      <c r="AH32" s="7">
        <f t="shared" si="2"/>
        <v>0</v>
      </c>
      <c r="AI32" s="7">
        <f t="shared" si="3"/>
        <v>0</v>
      </c>
      <c r="AJ32" s="7">
        <f t="shared" si="4"/>
        <v>0</v>
      </c>
      <c r="AK32" s="12">
        <f t="shared" si="5"/>
        <v>0</v>
      </c>
      <c r="AL32" s="14">
        <f t="shared" si="9"/>
        <v>3</v>
      </c>
      <c r="AM32" s="16" t="str">
        <f t="shared" si="7"/>
        <v>Passable</v>
      </c>
      <c r="AN32" s="121"/>
      <c r="AO32" s="122"/>
      <c r="AP32" s="25" t="s">
        <v>244</v>
      </c>
    </row>
    <row r="33" spans="1:42" ht="30" x14ac:dyDescent="0.25">
      <c r="A33" s="82">
        <v>44470</v>
      </c>
      <c r="B33" s="76"/>
      <c r="C33" s="25">
        <v>4602728</v>
      </c>
      <c r="D33" s="25" t="s">
        <v>130</v>
      </c>
      <c r="E33" s="77">
        <v>11</v>
      </c>
      <c r="F33" s="78">
        <v>682706.01202476595</v>
      </c>
      <c r="G33" s="79">
        <v>5442018.0248058597</v>
      </c>
      <c r="H33" s="77" t="s">
        <v>146</v>
      </c>
      <c r="I33" s="77" t="s">
        <v>131</v>
      </c>
      <c r="J33" s="80"/>
      <c r="K33" s="77" t="s">
        <v>246</v>
      </c>
      <c r="L33" s="25" t="s">
        <v>113</v>
      </c>
      <c r="M33" s="25" t="s">
        <v>114</v>
      </c>
      <c r="N33" s="122"/>
      <c r="O33" s="122"/>
      <c r="P33" s="121"/>
      <c r="Q33" s="122"/>
      <c r="R33" s="121"/>
      <c r="S33" s="121"/>
      <c r="T33" s="122"/>
      <c r="U33" s="122"/>
      <c r="V33" s="121"/>
      <c r="W33" s="122"/>
      <c r="X33" s="121"/>
      <c r="Y33" s="122"/>
      <c r="Z33" s="122"/>
      <c r="AA33" s="121"/>
      <c r="AB33" s="25"/>
      <c r="AC33" s="25"/>
      <c r="AD33" s="121"/>
      <c r="AE33" s="121"/>
      <c r="AF33" s="22">
        <f t="shared" si="8"/>
        <v>0</v>
      </c>
      <c r="AG33" s="15">
        <f t="shared" si="1"/>
        <v>0</v>
      </c>
      <c r="AH33" s="7">
        <f t="shared" si="2"/>
        <v>0</v>
      </c>
      <c r="AI33" s="7">
        <f t="shared" si="3"/>
        <v>0</v>
      </c>
      <c r="AJ33" s="7">
        <f t="shared" si="4"/>
        <v>0</v>
      </c>
      <c r="AK33" s="12">
        <f t="shared" si="5"/>
        <v>0</v>
      </c>
      <c r="AL33" s="14">
        <f t="shared" si="9"/>
        <v>0</v>
      </c>
      <c r="AM33" s="16" t="str">
        <f t="shared" si="7"/>
        <v>Unknown</v>
      </c>
      <c r="AN33" s="116"/>
      <c r="AO33" s="114"/>
      <c r="AP33" s="25" t="s">
        <v>151</v>
      </c>
    </row>
    <row r="34" spans="1:42" ht="30" x14ac:dyDescent="0.25">
      <c r="A34" s="82">
        <v>44470</v>
      </c>
      <c r="B34" s="76"/>
      <c r="C34" s="25">
        <v>4606597</v>
      </c>
      <c r="D34" s="25" t="s">
        <v>130</v>
      </c>
      <c r="E34" s="77">
        <v>11</v>
      </c>
      <c r="F34" s="78">
        <v>683097.03967492201</v>
      </c>
      <c r="G34" s="79">
        <v>5444416.0882432302</v>
      </c>
      <c r="H34" s="77" t="s">
        <v>146</v>
      </c>
      <c r="I34" s="77" t="s">
        <v>152</v>
      </c>
      <c r="J34" s="80"/>
      <c r="K34" s="77" t="s">
        <v>252</v>
      </c>
      <c r="L34" s="25" t="s">
        <v>99</v>
      </c>
      <c r="M34" s="25" t="s">
        <v>100</v>
      </c>
      <c r="N34" s="114">
        <v>0.3</v>
      </c>
      <c r="O34" s="114">
        <v>11.5</v>
      </c>
      <c r="P34" s="116" t="s">
        <v>96</v>
      </c>
      <c r="Q34" s="122"/>
      <c r="R34" s="116" t="s">
        <v>96</v>
      </c>
      <c r="S34" s="116" t="s">
        <v>96</v>
      </c>
      <c r="T34" s="122"/>
      <c r="U34" s="114">
        <v>1</v>
      </c>
      <c r="V34" s="116">
        <v>0</v>
      </c>
      <c r="W34" s="114">
        <v>0</v>
      </c>
      <c r="X34" s="116" t="s">
        <v>96</v>
      </c>
      <c r="Y34" s="114">
        <v>3</v>
      </c>
      <c r="Z34" s="114">
        <v>0.9</v>
      </c>
      <c r="AA34" s="116">
        <v>1</v>
      </c>
      <c r="AB34" s="25" t="s">
        <v>96</v>
      </c>
      <c r="AC34" s="25" t="s">
        <v>96</v>
      </c>
      <c r="AD34" s="116" t="s">
        <v>101</v>
      </c>
      <c r="AE34" s="116" t="s">
        <v>102</v>
      </c>
      <c r="AF34" s="22">
        <f t="shared" si="8"/>
        <v>3</v>
      </c>
      <c r="AG34" s="15">
        <f t="shared" si="1"/>
        <v>0</v>
      </c>
      <c r="AH34" s="7">
        <f t="shared" si="2"/>
        <v>10</v>
      </c>
      <c r="AI34" s="7">
        <f t="shared" si="3"/>
        <v>0</v>
      </c>
      <c r="AJ34" s="7">
        <f t="shared" si="4"/>
        <v>10</v>
      </c>
      <c r="AK34" s="12">
        <f t="shared" si="5"/>
        <v>6</v>
      </c>
      <c r="AL34" s="14">
        <f t="shared" si="9"/>
        <v>26</v>
      </c>
      <c r="AM34" s="16" t="str">
        <f t="shared" si="7"/>
        <v>Barrier</v>
      </c>
      <c r="AN34" s="116" t="s">
        <v>292</v>
      </c>
      <c r="AO34" s="114">
        <v>3</v>
      </c>
      <c r="AP34" s="25" t="s">
        <v>153</v>
      </c>
    </row>
    <row r="35" spans="1:42" ht="30" x14ac:dyDescent="0.25">
      <c r="A35" s="82">
        <v>44472</v>
      </c>
      <c r="B35" s="76"/>
      <c r="C35" s="25">
        <v>2021100301</v>
      </c>
      <c r="D35" s="25" t="s">
        <v>130</v>
      </c>
      <c r="E35" s="77">
        <v>11</v>
      </c>
      <c r="F35" s="78">
        <v>679699</v>
      </c>
      <c r="G35" s="79">
        <v>5433877</v>
      </c>
      <c r="H35" s="77" t="s">
        <v>154</v>
      </c>
      <c r="I35" s="77" t="s">
        <v>231</v>
      </c>
      <c r="J35" s="80"/>
      <c r="K35" s="77" t="s">
        <v>248</v>
      </c>
      <c r="L35" s="25" t="s">
        <v>94</v>
      </c>
      <c r="M35" s="25" t="s">
        <v>95</v>
      </c>
      <c r="N35" s="114">
        <v>10</v>
      </c>
      <c r="O35" s="114">
        <v>4.5</v>
      </c>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Passable</v>
      </c>
      <c r="AN35" s="121"/>
      <c r="AO35" s="122"/>
      <c r="AP35" s="25" t="s">
        <v>155</v>
      </c>
    </row>
    <row r="36" spans="1:42" ht="30" x14ac:dyDescent="0.25">
      <c r="A36" s="82">
        <v>44472</v>
      </c>
      <c r="B36" s="76"/>
      <c r="C36" s="25">
        <v>4605202</v>
      </c>
      <c r="D36" s="25" t="s">
        <v>130</v>
      </c>
      <c r="E36" s="77">
        <v>11</v>
      </c>
      <c r="F36" s="78">
        <v>680079.47885732201</v>
      </c>
      <c r="G36" s="79">
        <v>5433197.21314847</v>
      </c>
      <c r="H36" s="77" t="s">
        <v>156</v>
      </c>
      <c r="I36" s="77" t="s">
        <v>231</v>
      </c>
      <c r="J36" s="80"/>
      <c r="K36" s="77" t="s">
        <v>252</v>
      </c>
      <c r="L36" s="25" t="s">
        <v>113</v>
      </c>
      <c r="M36" s="25" t="s">
        <v>114</v>
      </c>
      <c r="N36" s="122"/>
      <c r="O36" s="122"/>
      <c r="P36" s="121"/>
      <c r="Q36" s="122"/>
      <c r="R36" s="121"/>
      <c r="S36" s="121"/>
      <c r="T36" s="122"/>
      <c r="U36" s="122"/>
      <c r="V36" s="121"/>
      <c r="W36" s="122"/>
      <c r="X36" s="121"/>
      <c r="Y36" s="122"/>
      <c r="Z36" s="122"/>
      <c r="AA36" s="121"/>
      <c r="AB36" s="25"/>
      <c r="AC36" s="25"/>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Unknown</v>
      </c>
      <c r="AN36" s="116"/>
      <c r="AO36" s="114"/>
      <c r="AP36" s="25" t="s">
        <v>157</v>
      </c>
    </row>
    <row r="37" spans="1:42" x14ac:dyDescent="0.25">
      <c r="A37" s="82">
        <v>44472</v>
      </c>
      <c r="B37" s="76"/>
      <c r="C37" s="25">
        <v>2021100302</v>
      </c>
      <c r="D37" s="25" t="s">
        <v>130</v>
      </c>
      <c r="E37" s="77">
        <v>11</v>
      </c>
      <c r="F37" s="78">
        <v>678863</v>
      </c>
      <c r="G37" s="79">
        <v>5434967</v>
      </c>
      <c r="H37" s="77" t="s">
        <v>158</v>
      </c>
      <c r="I37" s="77" t="s">
        <v>131</v>
      </c>
      <c r="J37" s="80"/>
      <c r="K37" s="77" t="s">
        <v>248</v>
      </c>
      <c r="L37" s="25" t="s">
        <v>113</v>
      </c>
      <c r="M37" s="25" t="s">
        <v>114</v>
      </c>
      <c r="N37" s="122"/>
      <c r="O37" s="122"/>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Unknown</v>
      </c>
      <c r="AN37" s="116"/>
      <c r="AO37" s="114"/>
      <c r="AP37" s="25" t="s">
        <v>159</v>
      </c>
    </row>
    <row r="38" spans="1:42" x14ac:dyDescent="0.25">
      <c r="A38" s="117">
        <v>44473</v>
      </c>
      <c r="B38" s="76"/>
      <c r="C38" s="25">
        <v>4603820</v>
      </c>
      <c r="D38" s="25" t="s">
        <v>130</v>
      </c>
      <c r="E38" s="77">
        <v>11</v>
      </c>
      <c r="F38" s="78">
        <v>676011.01058476197</v>
      </c>
      <c r="G38" s="79">
        <v>5459527.970458</v>
      </c>
      <c r="H38" s="77" t="s">
        <v>160</v>
      </c>
      <c r="I38" s="77" t="s">
        <v>131</v>
      </c>
      <c r="J38" s="80"/>
      <c r="K38" s="77" t="s">
        <v>246</v>
      </c>
      <c r="L38" s="25" t="s">
        <v>113</v>
      </c>
      <c r="M38" s="25" t="s">
        <v>114</v>
      </c>
      <c r="N38" s="122"/>
      <c r="O38" s="122"/>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Unknown</v>
      </c>
      <c r="AN38" s="116"/>
      <c r="AO38" s="114"/>
      <c r="AP38" s="25" t="s">
        <v>161</v>
      </c>
    </row>
    <row r="39" spans="1:42" x14ac:dyDescent="0.25">
      <c r="A39" s="82">
        <v>44473</v>
      </c>
      <c r="B39" s="76"/>
      <c r="C39" s="25">
        <v>4603821</v>
      </c>
      <c r="D39" s="25" t="s">
        <v>130</v>
      </c>
      <c r="E39" s="77">
        <v>11</v>
      </c>
      <c r="F39" s="78">
        <v>676015.00016439101</v>
      </c>
      <c r="G39" s="79">
        <v>5459480.9972306201</v>
      </c>
      <c r="H39" s="77" t="s">
        <v>160</v>
      </c>
      <c r="I39" s="77" t="s">
        <v>131</v>
      </c>
      <c r="J39" s="80"/>
      <c r="K39" s="77" t="s">
        <v>246</v>
      </c>
      <c r="L39" s="25" t="s">
        <v>113</v>
      </c>
      <c r="M39" s="25" t="s">
        <v>114</v>
      </c>
      <c r="N39" s="122"/>
      <c r="O39" s="122"/>
      <c r="P39" s="121"/>
      <c r="Q39" s="122"/>
      <c r="R39" s="121"/>
      <c r="S39" s="121"/>
      <c r="T39" s="122"/>
      <c r="U39" s="122"/>
      <c r="V39" s="121"/>
      <c r="W39" s="122"/>
      <c r="X39" s="121"/>
      <c r="Y39" s="122"/>
      <c r="Z39" s="122"/>
      <c r="AA39" s="121"/>
      <c r="AB39" s="25"/>
      <c r="AC39" s="25"/>
      <c r="AD39" s="121"/>
      <c r="AE39" s="121"/>
      <c r="AF39" s="22">
        <f t="shared" si="8"/>
        <v>0</v>
      </c>
      <c r="AG39" s="15">
        <f t="shared" si="1"/>
        <v>0</v>
      </c>
      <c r="AH39" s="7">
        <f t="shared" si="2"/>
        <v>0</v>
      </c>
      <c r="AI39" s="7">
        <f t="shared" si="3"/>
        <v>0</v>
      </c>
      <c r="AJ39" s="7">
        <f t="shared" si="4"/>
        <v>0</v>
      </c>
      <c r="AK39" s="12">
        <f t="shared" si="5"/>
        <v>0</v>
      </c>
      <c r="AL39" s="14">
        <f t="shared" si="9"/>
        <v>0</v>
      </c>
      <c r="AM39" s="16" t="str">
        <f t="shared" si="7"/>
        <v>Unknown</v>
      </c>
      <c r="AN39" s="116"/>
      <c r="AO39" s="114"/>
      <c r="AP39" s="25" t="s">
        <v>162</v>
      </c>
    </row>
    <row r="40" spans="1:42" ht="30" x14ac:dyDescent="0.25">
      <c r="A40" s="82">
        <v>44473</v>
      </c>
      <c r="B40" s="76"/>
      <c r="C40" s="25">
        <v>4607464</v>
      </c>
      <c r="D40" s="25" t="s">
        <v>130</v>
      </c>
      <c r="E40" s="77">
        <v>11</v>
      </c>
      <c r="F40" s="78">
        <v>682773.99221523304</v>
      </c>
      <c r="G40" s="79">
        <v>5448438.0250580898</v>
      </c>
      <c r="H40" s="77" t="s">
        <v>146</v>
      </c>
      <c r="I40" s="77" t="s">
        <v>149</v>
      </c>
      <c r="J40" s="80"/>
      <c r="K40" s="77" t="s">
        <v>252</v>
      </c>
      <c r="L40" s="25" t="s">
        <v>99</v>
      </c>
      <c r="M40" s="25" t="s">
        <v>100</v>
      </c>
      <c r="N40" s="114">
        <v>4.5</v>
      </c>
      <c r="O40" s="114">
        <v>60</v>
      </c>
      <c r="P40" s="116" t="s">
        <v>109</v>
      </c>
      <c r="Q40" s="114">
        <v>1.5</v>
      </c>
      <c r="R40" s="116" t="s">
        <v>109</v>
      </c>
      <c r="S40" s="116" t="s">
        <v>96</v>
      </c>
      <c r="T40" s="122"/>
      <c r="U40" s="114">
        <v>9.99</v>
      </c>
      <c r="V40" s="116">
        <v>0</v>
      </c>
      <c r="W40" s="114">
        <v>0</v>
      </c>
      <c r="X40" s="116" t="s">
        <v>109</v>
      </c>
      <c r="Y40" s="114">
        <v>2</v>
      </c>
      <c r="Z40" s="114">
        <v>3</v>
      </c>
      <c r="AA40" s="116">
        <v>4</v>
      </c>
      <c r="AB40" s="25" t="s">
        <v>96</v>
      </c>
      <c r="AC40" s="25" t="s">
        <v>96</v>
      </c>
      <c r="AD40" s="116" t="s">
        <v>101</v>
      </c>
      <c r="AE40" s="116" t="s">
        <v>163</v>
      </c>
      <c r="AF40" s="22">
        <f t="shared" si="8"/>
        <v>0.66666666666666663</v>
      </c>
      <c r="AG40" s="15">
        <f t="shared" si="1"/>
        <v>6</v>
      </c>
      <c r="AH40" s="7">
        <f t="shared" si="2"/>
        <v>0</v>
      </c>
      <c r="AI40" s="7">
        <f t="shared" si="3"/>
        <v>0</v>
      </c>
      <c r="AJ40" s="7">
        <f t="shared" si="4"/>
        <v>5</v>
      </c>
      <c r="AK40" s="12">
        <f t="shared" si="5"/>
        <v>0</v>
      </c>
      <c r="AL40" s="14">
        <f t="shared" si="9"/>
        <v>11</v>
      </c>
      <c r="AM40" s="16" t="str">
        <f t="shared" si="7"/>
        <v>Passable</v>
      </c>
      <c r="AN40" s="121"/>
      <c r="AO40" s="122"/>
      <c r="AP40" s="25" t="s">
        <v>166</v>
      </c>
    </row>
    <row r="41" spans="1:42" x14ac:dyDescent="0.25">
      <c r="A41" s="117">
        <v>44474</v>
      </c>
      <c r="B41" s="76"/>
      <c r="C41" s="25">
        <v>4602949</v>
      </c>
      <c r="D41" s="25" t="s">
        <v>130</v>
      </c>
      <c r="E41" s="77">
        <v>11</v>
      </c>
      <c r="F41" s="78">
        <v>647246.98949161405</v>
      </c>
      <c r="G41" s="79">
        <v>5534523.98473942</v>
      </c>
      <c r="H41" s="77" t="s">
        <v>167</v>
      </c>
      <c r="I41" s="77" t="s">
        <v>168</v>
      </c>
      <c r="J41" s="80"/>
      <c r="K41" s="77" t="s">
        <v>246</v>
      </c>
      <c r="L41" s="25" t="s">
        <v>113</v>
      </c>
      <c r="M41" s="25" t="s">
        <v>114</v>
      </c>
      <c r="N41" s="122"/>
      <c r="O41" s="122"/>
      <c r="P41" s="121"/>
      <c r="Q41" s="122"/>
      <c r="R41" s="121"/>
      <c r="S41" s="121"/>
      <c r="T41" s="122"/>
      <c r="U41" s="122"/>
      <c r="V41" s="121"/>
      <c r="W41" s="122"/>
      <c r="X41" s="121"/>
      <c r="Y41" s="122"/>
      <c r="Z41" s="122"/>
      <c r="AA41" s="121"/>
      <c r="AB41" s="25"/>
      <c r="AC41" s="25"/>
      <c r="AD41" s="121"/>
      <c r="AE41" s="121"/>
      <c r="AF41" s="22">
        <f t="shared" si="8"/>
        <v>0</v>
      </c>
      <c r="AG41" s="15">
        <f t="shared" si="1"/>
        <v>0</v>
      </c>
      <c r="AH41" s="7">
        <f t="shared" si="2"/>
        <v>0</v>
      </c>
      <c r="AI41" s="7">
        <f t="shared" si="3"/>
        <v>0</v>
      </c>
      <c r="AJ41" s="7">
        <f t="shared" si="4"/>
        <v>0</v>
      </c>
      <c r="AK41" s="12">
        <f t="shared" si="5"/>
        <v>0</v>
      </c>
      <c r="AL41" s="14">
        <f t="shared" si="9"/>
        <v>0</v>
      </c>
      <c r="AM41" s="16" t="str">
        <f t="shared" si="7"/>
        <v>Unknown</v>
      </c>
      <c r="AN41" s="116"/>
      <c r="AO41" s="114"/>
      <c r="AP41" s="25" t="s">
        <v>165</v>
      </c>
    </row>
    <row r="42" spans="1:42" ht="30" x14ac:dyDescent="0.25">
      <c r="A42" s="82">
        <v>44474</v>
      </c>
      <c r="B42" s="76"/>
      <c r="C42" s="25">
        <v>4605995</v>
      </c>
      <c r="D42" s="25" t="s">
        <v>130</v>
      </c>
      <c r="E42" s="77">
        <v>11</v>
      </c>
      <c r="F42" s="78">
        <v>647525.99146029504</v>
      </c>
      <c r="G42" s="79">
        <v>5533149.0130169298</v>
      </c>
      <c r="H42" s="77" t="s">
        <v>169</v>
      </c>
      <c r="I42" s="77" t="s">
        <v>168</v>
      </c>
      <c r="J42" s="80"/>
      <c r="K42" s="77" t="s">
        <v>253</v>
      </c>
      <c r="L42" s="25" t="s">
        <v>99</v>
      </c>
      <c r="M42" s="25" t="s">
        <v>100</v>
      </c>
      <c r="N42" s="114">
        <v>1</v>
      </c>
      <c r="O42" s="114">
        <v>15</v>
      </c>
      <c r="P42" s="116" t="s">
        <v>96</v>
      </c>
      <c r="Q42" s="122"/>
      <c r="R42" s="116" t="s">
        <v>96</v>
      </c>
      <c r="S42" s="116" t="s">
        <v>96</v>
      </c>
      <c r="T42" s="122"/>
      <c r="U42" s="114">
        <v>1</v>
      </c>
      <c r="V42" s="116">
        <v>1.7</v>
      </c>
      <c r="W42" s="114">
        <v>0.3</v>
      </c>
      <c r="X42" s="116" t="s">
        <v>109</v>
      </c>
      <c r="Y42" s="114">
        <v>5</v>
      </c>
      <c r="Z42" s="114">
        <v>2.4</v>
      </c>
      <c r="AA42" s="116">
        <v>17</v>
      </c>
      <c r="AB42" s="25" t="s">
        <v>96</v>
      </c>
      <c r="AC42" s="25" t="s">
        <v>96</v>
      </c>
      <c r="AD42" s="116" t="s">
        <v>101</v>
      </c>
      <c r="AE42" s="116" t="s">
        <v>102</v>
      </c>
      <c r="AF42" s="22">
        <f t="shared" si="8"/>
        <v>2.4</v>
      </c>
      <c r="AG42" s="15">
        <f t="shared" si="1"/>
        <v>3</v>
      </c>
      <c r="AH42" s="7">
        <f t="shared" si="2"/>
        <v>10</v>
      </c>
      <c r="AI42" s="7">
        <f t="shared" si="3"/>
        <v>10</v>
      </c>
      <c r="AJ42" s="7">
        <f t="shared" si="4"/>
        <v>10</v>
      </c>
      <c r="AK42" s="12">
        <f t="shared" si="5"/>
        <v>6</v>
      </c>
      <c r="AL42" s="14">
        <f t="shared" si="9"/>
        <v>39</v>
      </c>
      <c r="AM42" s="16" t="str">
        <f t="shared" si="7"/>
        <v>Barrier</v>
      </c>
      <c r="AN42" s="116" t="s">
        <v>293</v>
      </c>
      <c r="AO42" s="114">
        <v>12</v>
      </c>
      <c r="AP42" s="25" t="s">
        <v>170</v>
      </c>
    </row>
    <row r="43" spans="1:42" ht="30" x14ac:dyDescent="0.25">
      <c r="A43" s="82">
        <v>44474</v>
      </c>
      <c r="B43" s="76"/>
      <c r="C43" s="25">
        <v>4606007</v>
      </c>
      <c r="D43" s="25" t="s">
        <v>164</v>
      </c>
      <c r="E43" s="77">
        <v>11</v>
      </c>
      <c r="F43" s="78">
        <v>647156.27853561298</v>
      </c>
      <c r="G43" s="79">
        <v>5534676.3688466102</v>
      </c>
      <c r="H43" s="77" t="s">
        <v>167</v>
      </c>
      <c r="I43" s="77" t="s">
        <v>131</v>
      </c>
      <c r="J43" s="80"/>
      <c r="K43" s="77" t="s">
        <v>253</v>
      </c>
      <c r="L43" s="25" t="s">
        <v>113</v>
      </c>
      <c r="M43" s="25" t="s">
        <v>114</v>
      </c>
      <c r="N43" s="122"/>
      <c r="O43" s="122"/>
      <c r="P43" s="121"/>
      <c r="Q43" s="122"/>
      <c r="R43" s="121"/>
      <c r="S43" s="121"/>
      <c r="T43" s="122"/>
      <c r="U43" s="122"/>
      <c r="V43" s="121"/>
      <c r="W43" s="122"/>
      <c r="X43" s="121"/>
      <c r="Y43" s="122"/>
      <c r="Z43" s="122"/>
      <c r="AA43" s="121"/>
      <c r="AB43" s="25"/>
      <c r="AC43" s="25"/>
      <c r="AD43" s="121"/>
      <c r="AE43" s="121"/>
      <c r="AF43" s="22">
        <f t="shared" si="8"/>
        <v>0</v>
      </c>
      <c r="AG43" s="15">
        <f t="shared" si="1"/>
        <v>0</v>
      </c>
      <c r="AH43" s="7">
        <f t="shared" si="2"/>
        <v>0</v>
      </c>
      <c r="AI43" s="7">
        <f t="shared" si="3"/>
        <v>0</v>
      </c>
      <c r="AJ43" s="7">
        <f t="shared" si="4"/>
        <v>0</v>
      </c>
      <c r="AK43" s="12">
        <f t="shared" si="5"/>
        <v>0</v>
      </c>
      <c r="AL43" s="14">
        <f t="shared" si="9"/>
        <v>0</v>
      </c>
      <c r="AM43" s="16" t="str">
        <f t="shared" si="7"/>
        <v>Unknown</v>
      </c>
      <c r="AN43" s="116"/>
      <c r="AO43" s="114"/>
      <c r="AP43" s="25" t="s">
        <v>171</v>
      </c>
    </row>
    <row r="44" spans="1:42" ht="30" x14ac:dyDescent="0.25">
      <c r="A44" s="82">
        <v>44474</v>
      </c>
      <c r="B44" s="76"/>
      <c r="C44" s="25">
        <v>24735034</v>
      </c>
      <c r="D44" s="25" t="s">
        <v>164</v>
      </c>
      <c r="E44" s="77">
        <v>11</v>
      </c>
      <c r="F44" s="78">
        <v>647195</v>
      </c>
      <c r="G44" s="79">
        <v>5534741</v>
      </c>
      <c r="H44" s="77" t="s">
        <v>169</v>
      </c>
      <c r="I44" s="77" t="s">
        <v>131</v>
      </c>
      <c r="J44" s="80"/>
      <c r="K44" s="77" t="s">
        <v>253</v>
      </c>
      <c r="L44" s="25" t="s">
        <v>113</v>
      </c>
      <c r="M44" s="25" t="s">
        <v>114</v>
      </c>
      <c r="N44" s="122"/>
      <c r="O44" s="122"/>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Unknown</v>
      </c>
      <c r="AN44" s="116"/>
      <c r="AO44" s="114"/>
      <c r="AP44" s="25" t="s">
        <v>172</v>
      </c>
    </row>
    <row r="45" spans="1:42" x14ac:dyDescent="0.25">
      <c r="A45" s="82">
        <v>44474</v>
      </c>
      <c r="B45" s="76"/>
      <c r="C45" s="25">
        <v>24735049</v>
      </c>
      <c r="D45" s="25" t="s">
        <v>164</v>
      </c>
      <c r="E45" s="77">
        <v>11</v>
      </c>
      <c r="F45" s="78">
        <v>650009.92686343798</v>
      </c>
      <c r="G45" s="79">
        <v>5531957.8910957398</v>
      </c>
      <c r="H45" s="77" t="s">
        <v>167</v>
      </c>
      <c r="I45" s="77" t="s">
        <v>131</v>
      </c>
      <c r="J45" s="80"/>
      <c r="K45" s="77" t="s">
        <v>248</v>
      </c>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175</v>
      </c>
    </row>
    <row r="46" spans="1:42" ht="30" x14ac:dyDescent="0.25">
      <c r="A46" s="82">
        <v>44474</v>
      </c>
      <c r="B46" s="76"/>
      <c r="C46" s="25">
        <v>4606545</v>
      </c>
      <c r="D46" s="25" t="s">
        <v>178</v>
      </c>
      <c r="E46" s="77">
        <v>11</v>
      </c>
      <c r="F46" s="78">
        <v>644862.03141733701</v>
      </c>
      <c r="G46" s="79">
        <v>5520738.0515346099</v>
      </c>
      <c r="H46" s="77" t="s">
        <v>173</v>
      </c>
      <c r="I46" s="77" t="s">
        <v>174</v>
      </c>
      <c r="J46" s="80"/>
      <c r="K46" s="77" t="s">
        <v>254</v>
      </c>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176</v>
      </c>
    </row>
    <row r="47" spans="1:42" x14ac:dyDescent="0.25">
      <c r="A47" s="82">
        <v>44474</v>
      </c>
      <c r="B47" s="76"/>
      <c r="C47" s="25">
        <v>4602093</v>
      </c>
      <c r="D47" s="25" t="s">
        <v>178</v>
      </c>
      <c r="E47" s="77">
        <v>11</v>
      </c>
      <c r="F47" s="78">
        <v>639326.028535016</v>
      </c>
      <c r="G47" s="79">
        <v>5520829.0277407505</v>
      </c>
      <c r="H47" s="77" t="s">
        <v>173</v>
      </c>
      <c r="I47" s="77" t="s">
        <v>174</v>
      </c>
      <c r="J47" s="80"/>
      <c r="K47" s="77" t="s">
        <v>246</v>
      </c>
      <c r="L47" s="25" t="s">
        <v>113</v>
      </c>
      <c r="M47" s="25" t="s">
        <v>114</v>
      </c>
      <c r="N47" s="122"/>
      <c r="O47" s="122"/>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Unknown</v>
      </c>
      <c r="AN47" s="116"/>
      <c r="AO47" s="114"/>
      <c r="AP47" s="25" t="s">
        <v>177</v>
      </c>
    </row>
    <row r="48" spans="1:42" x14ac:dyDescent="0.25">
      <c r="A48" s="82">
        <v>44502</v>
      </c>
      <c r="B48" s="76"/>
      <c r="C48" s="25">
        <v>24706614</v>
      </c>
      <c r="D48" s="25" t="s">
        <v>179</v>
      </c>
      <c r="E48" s="77">
        <v>11</v>
      </c>
      <c r="F48" s="78">
        <v>653180.185653853</v>
      </c>
      <c r="G48" s="79">
        <v>5566732.2984241303</v>
      </c>
      <c r="H48" s="77" t="s">
        <v>180</v>
      </c>
      <c r="I48" s="77"/>
      <c r="J48" s="80"/>
      <c r="K48" s="77" t="s">
        <v>181</v>
      </c>
      <c r="L48" s="25" t="s">
        <v>113</v>
      </c>
      <c r="M48" s="25" t="s">
        <v>114</v>
      </c>
      <c r="N48" s="122"/>
      <c r="O48" s="122"/>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182</v>
      </c>
    </row>
    <row r="49" spans="1:42" x14ac:dyDescent="0.25">
      <c r="A49" s="82">
        <v>44502</v>
      </c>
      <c r="B49" s="76"/>
      <c r="C49" s="25">
        <v>4604696</v>
      </c>
      <c r="D49" s="25" t="s">
        <v>179</v>
      </c>
      <c r="E49" s="77">
        <v>11</v>
      </c>
      <c r="F49" s="78">
        <v>652346.08719351899</v>
      </c>
      <c r="G49" s="79">
        <v>5566460.7443962796</v>
      </c>
      <c r="H49" s="77" t="s">
        <v>180</v>
      </c>
      <c r="I49" s="77"/>
      <c r="J49" s="80"/>
      <c r="K49" s="77" t="s">
        <v>181</v>
      </c>
      <c r="L49" s="25" t="s">
        <v>113</v>
      </c>
      <c r="M49" s="25" t="s">
        <v>114</v>
      </c>
      <c r="N49" s="122"/>
      <c r="O49" s="122"/>
      <c r="P49" s="121"/>
      <c r="Q49" s="122"/>
      <c r="R49" s="121"/>
      <c r="S49" s="121"/>
      <c r="T49" s="122"/>
      <c r="U49" s="122"/>
      <c r="V49" s="121"/>
      <c r="W49" s="122"/>
      <c r="X49" s="121"/>
      <c r="Y49" s="122"/>
      <c r="Z49" s="122"/>
      <c r="AA49" s="121"/>
      <c r="AB49" s="25"/>
      <c r="AC49" s="25"/>
      <c r="AD49" s="121"/>
      <c r="AE49" s="121"/>
      <c r="AF49" s="22">
        <f t="shared" si="8"/>
        <v>0</v>
      </c>
      <c r="AG49" s="15">
        <f t="shared" si="1"/>
        <v>0</v>
      </c>
      <c r="AH49" s="7">
        <f t="shared" si="2"/>
        <v>0</v>
      </c>
      <c r="AI49" s="7">
        <f t="shared" si="3"/>
        <v>0</v>
      </c>
      <c r="AJ49" s="7">
        <f t="shared" si="4"/>
        <v>0</v>
      </c>
      <c r="AK49" s="12">
        <f t="shared" si="5"/>
        <v>0</v>
      </c>
      <c r="AL49" s="14">
        <f t="shared" si="9"/>
        <v>0</v>
      </c>
      <c r="AM49" s="16" t="str">
        <f t="shared" si="7"/>
        <v>Unknown</v>
      </c>
      <c r="AN49" s="116"/>
      <c r="AO49" s="114"/>
      <c r="AP49" s="25" t="s">
        <v>183</v>
      </c>
    </row>
    <row r="50" spans="1:42" x14ac:dyDescent="0.25">
      <c r="A50" s="82">
        <v>44502</v>
      </c>
      <c r="B50" s="76"/>
      <c r="C50" s="25">
        <v>4604677</v>
      </c>
      <c r="D50" s="25" t="s">
        <v>179</v>
      </c>
      <c r="E50" s="77">
        <v>11</v>
      </c>
      <c r="F50" s="78">
        <v>652123.29642669205</v>
      </c>
      <c r="G50" s="79">
        <v>5566424.1187842702</v>
      </c>
      <c r="H50" s="77" t="s">
        <v>180</v>
      </c>
      <c r="I50" s="77"/>
      <c r="J50" s="80"/>
      <c r="K50" s="77" t="s">
        <v>181</v>
      </c>
      <c r="L50" s="25" t="s">
        <v>99</v>
      </c>
      <c r="M50" s="25" t="s">
        <v>100</v>
      </c>
      <c r="N50" s="114">
        <v>2.7</v>
      </c>
      <c r="O50" s="114">
        <v>99</v>
      </c>
      <c r="P50" s="116" t="s">
        <v>96</v>
      </c>
      <c r="Q50" s="122"/>
      <c r="R50" s="116" t="s">
        <v>96</v>
      </c>
      <c r="S50" s="116" t="s">
        <v>109</v>
      </c>
      <c r="T50" s="114">
        <v>100</v>
      </c>
      <c r="U50" s="114">
        <v>2.4</v>
      </c>
      <c r="V50" s="116">
        <v>0</v>
      </c>
      <c r="W50" s="114">
        <v>0.4</v>
      </c>
      <c r="X50" s="116" t="s">
        <v>96</v>
      </c>
      <c r="Y50" s="114">
        <v>0.5</v>
      </c>
      <c r="Z50" s="114">
        <v>12</v>
      </c>
      <c r="AA50" s="116">
        <v>3.5</v>
      </c>
      <c r="AB50" s="25" t="s">
        <v>96</v>
      </c>
      <c r="AC50" s="25" t="s">
        <v>96</v>
      </c>
      <c r="AD50" s="116" t="s">
        <v>101</v>
      </c>
      <c r="AE50" s="116" t="s">
        <v>163</v>
      </c>
      <c r="AF50" s="22">
        <f t="shared" si="8"/>
        <v>4.4444444444444438</v>
      </c>
      <c r="AG50" s="15">
        <f t="shared" si="1"/>
        <v>6</v>
      </c>
      <c r="AH50" s="7">
        <f t="shared" si="2"/>
        <v>10</v>
      </c>
      <c r="AI50" s="7">
        <f t="shared" si="3"/>
        <v>0</v>
      </c>
      <c r="AJ50" s="7">
        <f t="shared" si="4"/>
        <v>0</v>
      </c>
      <c r="AK50" s="12">
        <f t="shared" si="5"/>
        <v>6</v>
      </c>
      <c r="AL50" s="14">
        <f t="shared" si="9"/>
        <v>22</v>
      </c>
      <c r="AM50" s="16" t="str">
        <f t="shared" si="7"/>
        <v>Barrier</v>
      </c>
      <c r="AN50" s="116" t="s">
        <v>293</v>
      </c>
      <c r="AO50" s="114">
        <v>18</v>
      </c>
      <c r="AP50" s="25" t="s">
        <v>186</v>
      </c>
    </row>
    <row r="51" spans="1:42" x14ac:dyDescent="0.25">
      <c r="A51" s="82">
        <v>44503</v>
      </c>
      <c r="B51" s="76"/>
      <c r="C51" s="25">
        <v>4603334</v>
      </c>
      <c r="D51" s="25" t="s">
        <v>179</v>
      </c>
      <c r="E51" s="77">
        <v>11</v>
      </c>
      <c r="F51" s="78">
        <v>651460.93019899295</v>
      </c>
      <c r="G51" s="79">
        <v>5566705.9534797603</v>
      </c>
      <c r="H51" s="77" t="s">
        <v>184</v>
      </c>
      <c r="I51" s="77"/>
      <c r="J51" s="80"/>
      <c r="K51" s="77" t="s">
        <v>181</v>
      </c>
      <c r="L51" s="25" t="s">
        <v>113</v>
      </c>
      <c r="M51" s="25" t="s">
        <v>114</v>
      </c>
      <c r="N51" s="122"/>
      <c r="O51" s="122"/>
      <c r="P51" s="121"/>
      <c r="Q51" s="122"/>
      <c r="R51" s="121"/>
      <c r="S51" s="121"/>
      <c r="T51" s="122"/>
      <c r="U51" s="122"/>
      <c r="V51" s="121"/>
      <c r="W51" s="122"/>
      <c r="X51" s="121"/>
      <c r="Y51" s="122"/>
      <c r="Z51" s="122"/>
      <c r="AA51" s="121"/>
      <c r="AB51" s="25"/>
      <c r="AC51" s="25"/>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Unknown</v>
      </c>
      <c r="AN51" s="116"/>
      <c r="AO51" s="114"/>
      <c r="AP51" s="25" t="s">
        <v>185</v>
      </c>
    </row>
    <row r="52" spans="1:42" x14ac:dyDescent="0.25">
      <c r="A52" s="82">
        <v>44503</v>
      </c>
      <c r="B52" s="76"/>
      <c r="C52" s="25">
        <v>4600762</v>
      </c>
      <c r="D52" s="116" t="s">
        <v>179</v>
      </c>
      <c r="E52" s="77">
        <v>11</v>
      </c>
      <c r="F52" s="78">
        <v>651281.96647324297</v>
      </c>
      <c r="G52" s="79">
        <v>5562573.9857919598</v>
      </c>
      <c r="H52" s="77" t="s">
        <v>184</v>
      </c>
      <c r="I52" s="77" t="s">
        <v>187</v>
      </c>
      <c r="J52" s="80"/>
      <c r="K52" s="77" t="s">
        <v>181</v>
      </c>
      <c r="L52" s="25" t="s">
        <v>99</v>
      </c>
      <c r="M52" s="25" t="s">
        <v>100</v>
      </c>
      <c r="N52" s="114">
        <v>5</v>
      </c>
      <c r="O52" s="114">
        <v>40</v>
      </c>
      <c r="P52" s="116" t="s">
        <v>96</v>
      </c>
      <c r="Q52" s="122"/>
      <c r="R52" s="116" t="s">
        <v>96</v>
      </c>
      <c r="S52" s="116" t="s">
        <v>96</v>
      </c>
      <c r="T52" s="122"/>
      <c r="U52" s="114">
        <v>9.99</v>
      </c>
      <c r="V52" s="116">
        <v>0</v>
      </c>
      <c r="W52" s="114">
        <v>4</v>
      </c>
      <c r="X52" s="116" t="s">
        <v>109</v>
      </c>
      <c r="Y52" s="114">
        <v>2</v>
      </c>
      <c r="Z52" s="114">
        <v>16</v>
      </c>
      <c r="AA52" s="116">
        <v>2</v>
      </c>
      <c r="AB52" s="25" t="s">
        <v>96</v>
      </c>
      <c r="AC52" s="25" t="s">
        <v>96</v>
      </c>
      <c r="AD52" s="116" t="s">
        <v>101</v>
      </c>
      <c r="AE52" s="116" t="s">
        <v>163</v>
      </c>
      <c r="AF52" s="22">
        <f t="shared" si="8"/>
        <v>3.2</v>
      </c>
      <c r="AG52" s="15">
        <f t="shared" si="1"/>
        <v>6</v>
      </c>
      <c r="AH52" s="7">
        <f t="shared" si="2"/>
        <v>10</v>
      </c>
      <c r="AI52" s="7">
        <f t="shared" si="3"/>
        <v>0</v>
      </c>
      <c r="AJ52" s="7">
        <f t="shared" si="4"/>
        <v>5</v>
      </c>
      <c r="AK52" s="12">
        <f t="shared" si="5"/>
        <v>6</v>
      </c>
      <c r="AL52" s="14">
        <f t="shared" si="9"/>
        <v>27</v>
      </c>
      <c r="AM52" s="16" t="str">
        <f t="shared" si="7"/>
        <v>Barrier</v>
      </c>
      <c r="AN52" s="116" t="s">
        <v>293</v>
      </c>
      <c r="AO52" s="114">
        <v>33</v>
      </c>
      <c r="AP52" s="25" t="s">
        <v>188</v>
      </c>
    </row>
    <row r="53" spans="1:42" ht="30" x14ac:dyDescent="0.25">
      <c r="A53" s="82">
        <v>44483</v>
      </c>
      <c r="B53" s="76"/>
      <c r="C53" s="25">
        <v>4605671</v>
      </c>
      <c r="D53" s="25" t="s">
        <v>189</v>
      </c>
      <c r="E53" s="77">
        <v>11</v>
      </c>
      <c r="F53" s="78">
        <v>647548.96455826994</v>
      </c>
      <c r="G53" s="79">
        <v>5574967.0081516299</v>
      </c>
      <c r="H53" s="77" t="s">
        <v>190</v>
      </c>
      <c r="I53" s="77" t="s">
        <v>191</v>
      </c>
      <c r="J53" s="80"/>
      <c r="K53" s="77" t="s">
        <v>255</v>
      </c>
      <c r="L53" s="25" t="s">
        <v>99</v>
      </c>
      <c r="M53" s="25" t="s">
        <v>100</v>
      </c>
      <c r="N53" s="114">
        <v>1.1000000000000001</v>
      </c>
      <c r="O53" s="114">
        <v>12</v>
      </c>
      <c r="P53" s="116" t="s">
        <v>96</v>
      </c>
      <c r="Q53" s="122"/>
      <c r="R53" s="116" t="s">
        <v>96</v>
      </c>
      <c r="S53" s="116" t="s">
        <v>96</v>
      </c>
      <c r="T53" s="122"/>
      <c r="U53" s="114">
        <v>0.7</v>
      </c>
      <c r="V53" s="116">
        <v>0.05</v>
      </c>
      <c r="W53" s="114">
        <v>0.23</v>
      </c>
      <c r="X53" s="116" t="s">
        <v>109</v>
      </c>
      <c r="Y53" s="114">
        <v>3.5</v>
      </c>
      <c r="Z53" s="114">
        <v>1.3</v>
      </c>
      <c r="AA53" s="116">
        <v>5</v>
      </c>
      <c r="AB53" s="25" t="s">
        <v>96</v>
      </c>
      <c r="AC53" s="25" t="s">
        <v>96</v>
      </c>
      <c r="AD53" s="116" t="s">
        <v>101</v>
      </c>
      <c r="AE53" s="116" t="s">
        <v>102</v>
      </c>
      <c r="AF53" s="22">
        <f t="shared" si="8"/>
        <v>1.1818181818181817</v>
      </c>
      <c r="AG53" s="15">
        <f t="shared" si="1"/>
        <v>0</v>
      </c>
      <c r="AH53" s="7">
        <f t="shared" si="2"/>
        <v>10</v>
      </c>
      <c r="AI53" s="7">
        <f t="shared" si="3"/>
        <v>0</v>
      </c>
      <c r="AJ53" s="7">
        <f t="shared" si="4"/>
        <v>10</v>
      </c>
      <c r="AK53" s="12">
        <f t="shared" si="5"/>
        <v>3</v>
      </c>
      <c r="AL53" s="14">
        <f t="shared" si="9"/>
        <v>23</v>
      </c>
      <c r="AM53" s="16" t="str">
        <f t="shared" si="7"/>
        <v>Barrier</v>
      </c>
      <c r="AN53" s="116" t="s">
        <v>292</v>
      </c>
      <c r="AO53" s="114">
        <v>3</v>
      </c>
      <c r="AP53" s="25" t="s">
        <v>192</v>
      </c>
    </row>
    <row r="54" spans="1:42" ht="30" x14ac:dyDescent="0.25">
      <c r="A54" s="82">
        <v>44483</v>
      </c>
      <c r="B54" s="76"/>
      <c r="C54" s="25">
        <v>4605698</v>
      </c>
      <c r="D54" s="25" t="s">
        <v>189</v>
      </c>
      <c r="E54" s="77">
        <v>11</v>
      </c>
      <c r="F54" s="78">
        <v>646781.00005894003</v>
      </c>
      <c r="G54" s="79">
        <v>5572307.9533412401</v>
      </c>
      <c r="H54" s="77" t="s">
        <v>190</v>
      </c>
      <c r="I54" s="77" t="s">
        <v>191</v>
      </c>
      <c r="J54" s="80"/>
      <c r="K54" s="77" t="s">
        <v>255</v>
      </c>
      <c r="L54" s="25" t="s">
        <v>99</v>
      </c>
      <c r="M54" s="25" t="s">
        <v>100</v>
      </c>
      <c r="N54" s="114">
        <v>0.5</v>
      </c>
      <c r="O54" s="114">
        <v>11</v>
      </c>
      <c r="P54" s="116" t="s">
        <v>96</v>
      </c>
      <c r="Q54" s="122"/>
      <c r="R54" s="116" t="s">
        <v>96</v>
      </c>
      <c r="S54" s="116" t="s">
        <v>96</v>
      </c>
      <c r="T54" s="122"/>
      <c r="U54" s="114">
        <v>0.7</v>
      </c>
      <c r="V54" s="116">
        <v>0.15</v>
      </c>
      <c r="W54" s="114">
        <v>0.1</v>
      </c>
      <c r="X54" s="116" t="s">
        <v>109</v>
      </c>
      <c r="Y54" s="114">
        <v>2</v>
      </c>
      <c r="Z54" s="114">
        <v>0.95</v>
      </c>
      <c r="AA54" s="116">
        <v>14</v>
      </c>
      <c r="AB54" s="25" t="s">
        <v>96</v>
      </c>
      <c r="AC54" s="25" t="s">
        <v>96</v>
      </c>
      <c r="AD54" s="116" t="s">
        <v>101</v>
      </c>
      <c r="AE54" s="116" t="s">
        <v>102</v>
      </c>
      <c r="AF54" s="22">
        <f t="shared" si="8"/>
        <v>1.9</v>
      </c>
      <c r="AG54" s="15">
        <f t="shared" si="1"/>
        <v>0</v>
      </c>
      <c r="AH54" s="7">
        <f t="shared" si="2"/>
        <v>10</v>
      </c>
      <c r="AI54" s="7">
        <f t="shared" si="3"/>
        <v>5</v>
      </c>
      <c r="AJ54" s="7">
        <f t="shared" si="4"/>
        <v>5</v>
      </c>
      <c r="AK54" s="12">
        <f t="shared" si="5"/>
        <v>6</v>
      </c>
      <c r="AL54" s="14">
        <f t="shared" si="9"/>
        <v>26</v>
      </c>
      <c r="AM54" s="16" t="str">
        <f t="shared" si="7"/>
        <v>Barrier</v>
      </c>
      <c r="AN54" s="116" t="s">
        <v>292</v>
      </c>
      <c r="AO54" s="114">
        <v>3</v>
      </c>
      <c r="AP54" s="25" t="s">
        <v>193</v>
      </c>
    </row>
    <row r="55" spans="1:42" ht="30" x14ac:dyDescent="0.25">
      <c r="A55" s="82">
        <v>44483</v>
      </c>
      <c r="B55" s="76"/>
      <c r="C55" s="25">
        <v>4605731</v>
      </c>
      <c r="D55" s="25" t="s">
        <v>189</v>
      </c>
      <c r="E55" s="77">
        <v>11</v>
      </c>
      <c r="F55" s="78">
        <v>646747.99921385106</v>
      </c>
      <c r="G55" s="79">
        <v>5571001.0909295101</v>
      </c>
      <c r="H55" s="77" t="s">
        <v>190</v>
      </c>
      <c r="I55" s="77" t="s">
        <v>191</v>
      </c>
      <c r="J55" s="80"/>
      <c r="K55" s="77" t="s">
        <v>255</v>
      </c>
      <c r="L55" s="25" t="s">
        <v>99</v>
      </c>
      <c r="M55" s="25" t="s">
        <v>100</v>
      </c>
      <c r="N55" s="114">
        <v>0.6</v>
      </c>
      <c r="O55" s="114">
        <v>14</v>
      </c>
      <c r="P55" s="116" t="s">
        <v>96</v>
      </c>
      <c r="Q55" s="122"/>
      <c r="R55" s="116" t="s">
        <v>96</v>
      </c>
      <c r="S55" s="116" t="s">
        <v>96</v>
      </c>
      <c r="T55" s="122"/>
      <c r="U55" s="114">
        <v>1.32</v>
      </c>
      <c r="V55" s="116">
        <v>0.4</v>
      </c>
      <c r="W55" s="114">
        <v>0</v>
      </c>
      <c r="X55" s="116" t="s">
        <v>96</v>
      </c>
      <c r="Y55" s="114">
        <v>4.5</v>
      </c>
      <c r="Z55" s="114">
        <v>2</v>
      </c>
      <c r="AA55" s="116">
        <v>9</v>
      </c>
      <c r="AB55" s="25" t="s">
        <v>96</v>
      </c>
      <c r="AC55" s="25" t="s">
        <v>96</v>
      </c>
      <c r="AD55" s="116" t="s">
        <v>101</v>
      </c>
      <c r="AE55" s="116" t="s">
        <v>110</v>
      </c>
      <c r="AF55" s="22">
        <f t="shared" si="8"/>
        <v>3.3333333333333335</v>
      </c>
      <c r="AG55" s="15">
        <f t="shared" si="1"/>
        <v>0</v>
      </c>
      <c r="AH55" s="7">
        <f t="shared" si="2"/>
        <v>10</v>
      </c>
      <c r="AI55" s="7">
        <f t="shared" si="3"/>
        <v>10</v>
      </c>
      <c r="AJ55" s="7">
        <f t="shared" si="4"/>
        <v>10</v>
      </c>
      <c r="AK55" s="12">
        <f t="shared" si="5"/>
        <v>6</v>
      </c>
      <c r="AL55" s="14">
        <f t="shared" si="9"/>
        <v>36</v>
      </c>
      <c r="AM55" s="16" t="str">
        <f t="shared" si="7"/>
        <v>Barrier</v>
      </c>
      <c r="AN55" s="116" t="s">
        <v>293</v>
      </c>
      <c r="AO55" s="114">
        <v>12</v>
      </c>
      <c r="AP55" s="25" t="s">
        <v>194</v>
      </c>
    </row>
    <row r="56" spans="1:42" x14ac:dyDescent="0.25">
      <c r="A56" s="82">
        <v>44484</v>
      </c>
      <c r="B56" s="76"/>
      <c r="C56" s="25">
        <v>2021101501</v>
      </c>
      <c r="D56" s="25" t="s">
        <v>189</v>
      </c>
      <c r="E56" s="77">
        <v>11</v>
      </c>
      <c r="F56" s="78">
        <v>646931</v>
      </c>
      <c r="G56" s="79">
        <v>5494699</v>
      </c>
      <c r="H56" s="77" t="s">
        <v>195</v>
      </c>
      <c r="I56" s="77" t="s">
        <v>145</v>
      </c>
      <c r="J56" s="80"/>
      <c r="K56" s="77" t="s">
        <v>246</v>
      </c>
      <c r="L56" s="25" t="s">
        <v>113</v>
      </c>
      <c r="M56" s="25" t="s">
        <v>114</v>
      </c>
      <c r="N56" s="122"/>
      <c r="O56" s="122"/>
      <c r="P56" s="121"/>
      <c r="Q56" s="122"/>
      <c r="R56" s="121"/>
      <c r="S56" s="121"/>
      <c r="T56" s="122"/>
      <c r="U56" s="122"/>
      <c r="V56" s="121"/>
      <c r="W56" s="122"/>
      <c r="X56" s="121"/>
      <c r="Y56" s="122"/>
      <c r="Z56" s="122"/>
      <c r="AA56" s="121"/>
      <c r="AB56" s="25"/>
      <c r="AC56" s="25"/>
      <c r="AD56" s="121"/>
      <c r="AE56" s="121"/>
      <c r="AF56" s="22">
        <f t="shared" si="8"/>
        <v>0</v>
      </c>
      <c r="AG56" s="15">
        <f t="shared" si="1"/>
        <v>0</v>
      </c>
      <c r="AH56" s="7">
        <f t="shared" si="2"/>
        <v>0</v>
      </c>
      <c r="AI56" s="7">
        <f t="shared" si="3"/>
        <v>0</v>
      </c>
      <c r="AJ56" s="7">
        <f t="shared" si="4"/>
        <v>0</v>
      </c>
      <c r="AK56" s="12">
        <f t="shared" si="5"/>
        <v>0</v>
      </c>
      <c r="AL56" s="14">
        <f t="shared" si="9"/>
        <v>0</v>
      </c>
      <c r="AM56" s="16" t="str">
        <f t="shared" si="7"/>
        <v>Unknown</v>
      </c>
      <c r="AN56" s="116"/>
      <c r="AO56" s="114"/>
      <c r="AP56" s="25" t="s">
        <v>196</v>
      </c>
    </row>
    <row r="57" spans="1:42" ht="30" x14ac:dyDescent="0.25">
      <c r="A57" s="82">
        <v>44484</v>
      </c>
      <c r="B57" s="76"/>
      <c r="C57" s="25">
        <v>4600087</v>
      </c>
      <c r="D57" s="25" t="s">
        <v>189</v>
      </c>
      <c r="E57" s="77">
        <v>11</v>
      </c>
      <c r="F57" s="78">
        <v>647133.17521412799</v>
      </c>
      <c r="G57" s="79">
        <v>5495082.1030236697</v>
      </c>
      <c r="H57" s="77" t="s">
        <v>198</v>
      </c>
      <c r="I57" s="77" t="s">
        <v>197</v>
      </c>
      <c r="J57" s="80"/>
      <c r="K57" s="77" t="s">
        <v>256</v>
      </c>
      <c r="L57" s="25" t="s">
        <v>99</v>
      </c>
      <c r="M57" s="25" t="s">
        <v>100</v>
      </c>
      <c r="N57" s="114">
        <v>5</v>
      </c>
      <c r="O57" s="114">
        <v>12</v>
      </c>
      <c r="P57" s="116" t="s">
        <v>109</v>
      </c>
      <c r="Q57" s="114">
        <v>0.5</v>
      </c>
      <c r="R57" s="116" t="s">
        <v>109</v>
      </c>
      <c r="S57" s="116" t="s">
        <v>109</v>
      </c>
      <c r="T57" s="114">
        <v>100</v>
      </c>
      <c r="U57" s="114">
        <v>1</v>
      </c>
      <c r="V57" s="116">
        <v>0</v>
      </c>
      <c r="W57" s="114">
        <v>0.5</v>
      </c>
      <c r="X57" s="116" t="s">
        <v>109</v>
      </c>
      <c r="Y57" s="114">
        <v>0</v>
      </c>
      <c r="Z57" s="114">
        <v>5</v>
      </c>
      <c r="AA57" s="116">
        <v>0</v>
      </c>
      <c r="AB57" s="25" t="s">
        <v>109</v>
      </c>
      <c r="AC57" s="25" t="s">
        <v>96</v>
      </c>
      <c r="AD57" s="116" t="s">
        <v>101</v>
      </c>
      <c r="AE57" s="116" t="s">
        <v>110</v>
      </c>
      <c r="AF57" s="22">
        <f t="shared" si="8"/>
        <v>1</v>
      </c>
      <c r="AG57" s="15">
        <f t="shared" si="1"/>
        <v>0</v>
      </c>
      <c r="AH57" s="7">
        <f t="shared" si="2"/>
        <v>5</v>
      </c>
      <c r="AI57" s="7">
        <f t="shared" si="3"/>
        <v>0</v>
      </c>
      <c r="AJ57" s="7">
        <f t="shared" si="4"/>
        <v>0</v>
      </c>
      <c r="AK57" s="12">
        <f t="shared" si="5"/>
        <v>3</v>
      </c>
      <c r="AL57" s="14">
        <f t="shared" si="9"/>
        <v>8</v>
      </c>
      <c r="AM57" s="16" t="str">
        <f t="shared" si="7"/>
        <v>Passable</v>
      </c>
      <c r="AN57" s="121"/>
      <c r="AO57" s="122"/>
      <c r="AP57" s="25" t="s">
        <v>199</v>
      </c>
    </row>
    <row r="58" spans="1:42" ht="30" x14ac:dyDescent="0.25">
      <c r="A58" s="82">
        <v>44484</v>
      </c>
      <c r="B58" s="76"/>
      <c r="C58" s="25">
        <v>4600129</v>
      </c>
      <c r="D58" s="25" t="s">
        <v>189</v>
      </c>
      <c r="E58" s="77">
        <v>11</v>
      </c>
      <c r="F58" s="78">
        <v>647141.39675496204</v>
      </c>
      <c r="G58" s="79">
        <v>5494822.5475820703</v>
      </c>
      <c r="H58" s="77" t="s">
        <v>195</v>
      </c>
      <c r="I58" s="77" t="s">
        <v>200</v>
      </c>
      <c r="J58" s="80"/>
      <c r="K58" s="77" t="s">
        <v>257</v>
      </c>
      <c r="L58" s="25" t="s">
        <v>99</v>
      </c>
      <c r="M58" s="25" t="s">
        <v>100</v>
      </c>
      <c r="N58" s="114">
        <v>1.5</v>
      </c>
      <c r="O58" s="114">
        <v>22</v>
      </c>
      <c r="P58" s="116" t="s">
        <v>96</v>
      </c>
      <c r="Q58" s="122"/>
      <c r="R58" s="116" t="s">
        <v>96</v>
      </c>
      <c r="S58" s="116" t="s">
        <v>96</v>
      </c>
      <c r="T58" s="122"/>
      <c r="U58" s="114">
        <v>3</v>
      </c>
      <c r="V58" s="116">
        <v>0</v>
      </c>
      <c r="W58" s="114">
        <v>0.4</v>
      </c>
      <c r="X58" s="116" t="s">
        <v>109</v>
      </c>
      <c r="Y58" s="114">
        <v>4.5</v>
      </c>
      <c r="Z58" s="114">
        <v>3</v>
      </c>
      <c r="AA58" s="116">
        <v>2.5</v>
      </c>
      <c r="AB58" s="25" t="s">
        <v>96</v>
      </c>
      <c r="AC58" s="25" t="s">
        <v>96</v>
      </c>
      <c r="AD58" s="116" t="s">
        <v>101</v>
      </c>
      <c r="AE58" s="116" t="s">
        <v>110</v>
      </c>
      <c r="AF58" s="22">
        <f t="shared" si="8"/>
        <v>2</v>
      </c>
      <c r="AG58" s="15">
        <f t="shared" si="1"/>
        <v>3</v>
      </c>
      <c r="AH58" s="7">
        <f t="shared" si="2"/>
        <v>10</v>
      </c>
      <c r="AI58" s="7">
        <f t="shared" si="3"/>
        <v>0</v>
      </c>
      <c r="AJ58" s="7">
        <f t="shared" si="4"/>
        <v>10</v>
      </c>
      <c r="AK58" s="12">
        <f t="shared" si="5"/>
        <v>6</v>
      </c>
      <c r="AL58" s="14">
        <f t="shared" si="9"/>
        <v>29</v>
      </c>
      <c r="AM58" s="16" t="str">
        <f t="shared" si="7"/>
        <v>Barrier</v>
      </c>
      <c r="AN58" s="116" t="s">
        <v>293</v>
      </c>
      <c r="AO58" s="114">
        <v>12</v>
      </c>
      <c r="AP58" s="25" t="s">
        <v>205</v>
      </c>
    </row>
    <row r="59" spans="1:42" ht="30" x14ac:dyDescent="0.25">
      <c r="A59" s="82">
        <v>44484</v>
      </c>
      <c r="B59" s="76"/>
      <c r="C59" s="25">
        <v>4606711</v>
      </c>
      <c r="D59" s="25" t="s">
        <v>189</v>
      </c>
      <c r="E59" s="77">
        <v>11</v>
      </c>
      <c r="F59" s="78">
        <v>647221.73669214698</v>
      </c>
      <c r="G59" s="79">
        <v>5494759.2018076601</v>
      </c>
      <c r="H59" s="77" t="s">
        <v>195</v>
      </c>
      <c r="I59" s="77" t="s">
        <v>201</v>
      </c>
      <c r="J59" s="80"/>
      <c r="K59" s="77" t="s">
        <v>258</v>
      </c>
      <c r="L59" s="25" t="s">
        <v>99</v>
      </c>
      <c r="M59" s="25" t="s">
        <v>100</v>
      </c>
      <c r="N59" s="114">
        <v>1.75</v>
      </c>
      <c r="O59" s="114">
        <v>30</v>
      </c>
      <c r="P59" s="116" t="s">
        <v>109</v>
      </c>
      <c r="Q59" s="114">
        <v>0.3</v>
      </c>
      <c r="R59" s="116" t="s">
        <v>109</v>
      </c>
      <c r="S59" s="116" t="s">
        <v>96</v>
      </c>
      <c r="T59" s="122"/>
      <c r="U59" s="114">
        <v>1.5</v>
      </c>
      <c r="V59" s="116">
        <v>0</v>
      </c>
      <c r="W59" s="114">
        <v>0.4</v>
      </c>
      <c r="X59" s="116" t="s">
        <v>96</v>
      </c>
      <c r="Y59" s="114">
        <v>2</v>
      </c>
      <c r="Z59" s="114">
        <v>3.9</v>
      </c>
      <c r="AA59" s="116">
        <v>5</v>
      </c>
      <c r="AB59" s="25" t="s">
        <v>96</v>
      </c>
      <c r="AC59" s="25" t="s">
        <v>96</v>
      </c>
      <c r="AD59" s="116" t="s">
        <v>101</v>
      </c>
      <c r="AE59" s="116" t="s">
        <v>163</v>
      </c>
      <c r="AF59" s="22">
        <f t="shared" si="8"/>
        <v>2.2285714285714286</v>
      </c>
      <c r="AG59" s="15">
        <f t="shared" si="1"/>
        <v>6</v>
      </c>
      <c r="AH59" s="7">
        <f t="shared" si="2"/>
        <v>5</v>
      </c>
      <c r="AI59" s="7">
        <f t="shared" si="3"/>
        <v>0</v>
      </c>
      <c r="AJ59" s="7">
        <f t="shared" si="4"/>
        <v>5</v>
      </c>
      <c r="AK59" s="12">
        <f t="shared" si="5"/>
        <v>6</v>
      </c>
      <c r="AL59" s="14">
        <f t="shared" si="9"/>
        <v>22</v>
      </c>
      <c r="AM59" s="16" t="str">
        <f t="shared" si="7"/>
        <v>Barrier</v>
      </c>
      <c r="AN59" s="116" t="s">
        <v>293</v>
      </c>
      <c r="AO59" s="114">
        <v>12</v>
      </c>
      <c r="AP59" s="25" t="s">
        <v>204</v>
      </c>
    </row>
    <row r="60" spans="1:42" x14ac:dyDescent="0.25">
      <c r="A60" s="82">
        <v>44484</v>
      </c>
      <c r="B60" s="76"/>
      <c r="C60" s="25">
        <v>4600088</v>
      </c>
      <c r="D60" s="25" t="s">
        <v>189</v>
      </c>
      <c r="E60" s="77">
        <v>11</v>
      </c>
      <c r="F60" s="78">
        <v>647446.72795650898</v>
      </c>
      <c r="G60" s="79">
        <v>5494639.4641270703</v>
      </c>
      <c r="H60" s="77" t="s">
        <v>195</v>
      </c>
      <c r="I60" s="77" t="s">
        <v>202</v>
      </c>
      <c r="J60" s="80"/>
      <c r="K60" s="77" t="s">
        <v>256</v>
      </c>
      <c r="L60" s="25" t="s">
        <v>99</v>
      </c>
      <c r="M60" s="25" t="s">
        <v>100</v>
      </c>
      <c r="N60" s="114">
        <v>2.5</v>
      </c>
      <c r="O60" s="114">
        <v>17</v>
      </c>
      <c r="P60" s="116" t="s">
        <v>96</v>
      </c>
      <c r="Q60" s="122"/>
      <c r="R60" s="116" t="s">
        <v>96</v>
      </c>
      <c r="S60" s="116" t="s">
        <v>96</v>
      </c>
      <c r="T60" s="122"/>
      <c r="U60" s="114">
        <v>0.35</v>
      </c>
      <c r="V60" s="116">
        <v>0.24</v>
      </c>
      <c r="W60" s="114">
        <v>0.15</v>
      </c>
      <c r="X60" s="116" t="s">
        <v>96</v>
      </c>
      <c r="Y60" s="114">
        <v>3</v>
      </c>
      <c r="Z60" s="114">
        <v>4.0999999999999996</v>
      </c>
      <c r="AA60" s="116">
        <v>7</v>
      </c>
      <c r="AB60" s="25" t="s">
        <v>96</v>
      </c>
      <c r="AC60" s="25" t="s">
        <v>96</v>
      </c>
      <c r="AD60" s="116" t="s">
        <v>101</v>
      </c>
      <c r="AE60" s="116" t="s">
        <v>110</v>
      </c>
      <c r="AF60" s="22">
        <f t="shared" si="8"/>
        <v>1.64</v>
      </c>
      <c r="AG60" s="15">
        <f t="shared" si="1"/>
        <v>3</v>
      </c>
      <c r="AH60" s="7">
        <f t="shared" si="2"/>
        <v>10</v>
      </c>
      <c r="AI60" s="7">
        <f t="shared" si="3"/>
        <v>5</v>
      </c>
      <c r="AJ60" s="7">
        <f t="shared" si="4"/>
        <v>10</v>
      </c>
      <c r="AK60" s="12">
        <f t="shared" si="5"/>
        <v>6</v>
      </c>
      <c r="AL60" s="14">
        <f t="shared" si="9"/>
        <v>34</v>
      </c>
      <c r="AM60" s="16" t="str">
        <f t="shared" si="7"/>
        <v>Barrier</v>
      </c>
      <c r="AN60" s="116" t="s">
        <v>293</v>
      </c>
      <c r="AO60" s="114">
        <v>12</v>
      </c>
      <c r="AP60" s="25" t="s">
        <v>203</v>
      </c>
    </row>
    <row r="61" spans="1:42" x14ac:dyDescent="0.25">
      <c r="A61" s="82">
        <v>44484</v>
      </c>
      <c r="B61" s="76"/>
      <c r="C61" s="25">
        <v>24734199</v>
      </c>
      <c r="D61" s="25" t="s">
        <v>189</v>
      </c>
      <c r="E61" s="77">
        <v>11</v>
      </c>
      <c r="F61" s="78">
        <v>647622.93066542398</v>
      </c>
      <c r="G61" s="79">
        <v>5494598.9704099596</v>
      </c>
      <c r="H61" s="77" t="s">
        <v>195</v>
      </c>
      <c r="I61" s="77" t="s">
        <v>206</v>
      </c>
      <c r="J61" s="80"/>
      <c r="K61" s="77" t="s">
        <v>248</v>
      </c>
      <c r="L61" s="25" t="s">
        <v>94</v>
      </c>
      <c r="M61" s="25" t="s">
        <v>95</v>
      </c>
      <c r="N61" s="114">
        <v>10</v>
      </c>
      <c r="O61" s="114">
        <v>4.3</v>
      </c>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Passable</v>
      </c>
      <c r="AN61" s="121"/>
      <c r="AO61" s="122"/>
      <c r="AP61" s="25" t="s">
        <v>207</v>
      </c>
    </row>
    <row r="62" spans="1:42" x14ac:dyDescent="0.25">
      <c r="A62" s="82">
        <v>44466</v>
      </c>
      <c r="B62" s="76"/>
      <c r="C62" s="25">
        <v>4602163</v>
      </c>
      <c r="D62" s="25" t="s">
        <v>164</v>
      </c>
      <c r="E62" s="77">
        <v>11</v>
      </c>
      <c r="F62" s="78">
        <v>651609.10746198497</v>
      </c>
      <c r="G62" s="79">
        <v>5475660.9780400796</v>
      </c>
      <c r="H62" s="77" t="s">
        <v>208</v>
      </c>
      <c r="I62" s="77" t="s">
        <v>131</v>
      </c>
      <c r="J62" s="80"/>
      <c r="K62" s="77" t="s">
        <v>246</v>
      </c>
      <c r="L62" s="25" t="s">
        <v>113</v>
      </c>
      <c r="M62" s="25" t="s">
        <v>114</v>
      </c>
      <c r="N62" s="122"/>
      <c r="O62" s="122"/>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Unknown</v>
      </c>
      <c r="AN62" s="116"/>
      <c r="AO62" s="114"/>
      <c r="AP62" s="25" t="s">
        <v>209</v>
      </c>
    </row>
    <row r="63" spans="1:42" x14ac:dyDescent="0.25">
      <c r="A63" s="82">
        <v>44466</v>
      </c>
      <c r="B63" s="76"/>
      <c r="C63" s="25">
        <v>4601704</v>
      </c>
      <c r="D63" s="25" t="s">
        <v>164</v>
      </c>
      <c r="E63" s="77">
        <v>11</v>
      </c>
      <c r="F63" s="78">
        <v>650166.01269003097</v>
      </c>
      <c r="G63" s="79">
        <v>5473852.00511235</v>
      </c>
      <c r="H63" s="77" t="s">
        <v>208</v>
      </c>
      <c r="I63" s="77" t="s">
        <v>145</v>
      </c>
      <c r="J63" s="80"/>
      <c r="K63" s="77" t="s">
        <v>246</v>
      </c>
      <c r="L63" s="25" t="s">
        <v>113</v>
      </c>
      <c r="M63" s="25" t="s">
        <v>114</v>
      </c>
      <c r="N63" s="122"/>
      <c r="O63" s="122"/>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Unknown</v>
      </c>
      <c r="AN63" s="116"/>
      <c r="AO63" s="114"/>
      <c r="AP63" s="25" t="s">
        <v>277</v>
      </c>
    </row>
    <row r="64" spans="1:42" x14ac:dyDescent="0.25">
      <c r="A64" s="82">
        <v>44466</v>
      </c>
      <c r="B64" s="76"/>
      <c r="C64" s="25">
        <v>4607022</v>
      </c>
      <c r="D64" s="25" t="s">
        <v>164</v>
      </c>
      <c r="E64" s="77">
        <v>11</v>
      </c>
      <c r="F64" s="78">
        <v>648168.06455436</v>
      </c>
      <c r="G64" s="79">
        <v>5499879.0599844297</v>
      </c>
      <c r="H64" s="77" t="s">
        <v>210</v>
      </c>
      <c r="I64" s="77" t="s">
        <v>131</v>
      </c>
      <c r="J64" s="80"/>
      <c r="K64" s="77" t="s">
        <v>259</v>
      </c>
      <c r="L64" s="25" t="s">
        <v>113</v>
      </c>
      <c r="M64" s="25" t="s">
        <v>114</v>
      </c>
      <c r="N64" s="122"/>
      <c r="O64" s="122"/>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Unknown</v>
      </c>
      <c r="AN64" s="116"/>
      <c r="AO64" s="114"/>
      <c r="AP64" s="25" t="s">
        <v>276</v>
      </c>
    </row>
    <row r="65" spans="1:42" ht="30" x14ac:dyDescent="0.25">
      <c r="A65" s="117">
        <v>44467</v>
      </c>
      <c r="B65" s="76"/>
      <c r="C65" s="116">
        <v>24706675</v>
      </c>
      <c r="D65" s="116" t="s">
        <v>164</v>
      </c>
      <c r="E65" s="77">
        <v>11</v>
      </c>
      <c r="F65" s="78">
        <v>663336.46709268098</v>
      </c>
      <c r="G65" s="79">
        <v>5447765.8596041799</v>
      </c>
      <c r="H65" s="77" t="s">
        <v>134</v>
      </c>
      <c r="I65" s="77" t="s">
        <v>135</v>
      </c>
      <c r="J65" s="80"/>
      <c r="K65" s="77" t="s">
        <v>248</v>
      </c>
      <c r="L65" s="116" t="s">
        <v>94</v>
      </c>
      <c r="M65" s="116" t="s">
        <v>95</v>
      </c>
      <c r="N65" s="114">
        <v>15</v>
      </c>
      <c r="O65" s="114">
        <v>4</v>
      </c>
      <c r="P65" s="121"/>
      <c r="Q65" s="122"/>
      <c r="R65" s="121"/>
      <c r="S65" s="121"/>
      <c r="T65" s="122"/>
      <c r="U65" s="122"/>
      <c r="V65" s="121"/>
      <c r="W65" s="122"/>
      <c r="X65" s="121"/>
      <c r="Y65" s="122"/>
      <c r="Z65" s="122"/>
      <c r="AA65" s="121"/>
      <c r="AB65" s="25"/>
      <c r="AC65" s="25"/>
      <c r="AD65" s="121"/>
      <c r="AE65" s="121"/>
      <c r="AF65" s="22">
        <f t="shared" si="8"/>
        <v>0</v>
      </c>
      <c r="AG65" s="15">
        <f t="shared" si="1"/>
        <v>0</v>
      </c>
      <c r="AH65" s="7">
        <f t="shared" si="2"/>
        <v>0</v>
      </c>
      <c r="AI65" s="7">
        <f t="shared" si="3"/>
        <v>0</v>
      </c>
      <c r="AJ65" s="7">
        <f t="shared" si="4"/>
        <v>0</v>
      </c>
      <c r="AK65" s="12">
        <f t="shared" si="5"/>
        <v>0</v>
      </c>
      <c r="AL65" s="14">
        <f t="shared" si="9"/>
        <v>0</v>
      </c>
      <c r="AM65" s="16" t="str">
        <f t="shared" si="7"/>
        <v>Passable</v>
      </c>
      <c r="AN65" s="121"/>
      <c r="AO65" s="122"/>
      <c r="AP65" s="116" t="s">
        <v>212</v>
      </c>
    </row>
    <row r="66" spans="1:42" x14ac:dyDescent="0.25">
      <c r="A66" s="117">
        <v>44467</v>
      </c>
      <c r="B66" s="76"/>
      <c r="C66" s="116">
        <v>4603555</v>
      </c>
      <c r="D66" s="116" t="s">
        <v>164</v>
      </c>
      <c r="E66" s="77">
        <v>11</v>
      </c>
      <c r="F66" s="78">
        <v>662659.00321564195</v>
      </c>
      <c r="G66" s="79">
        <v>5447839.0096909702</v>
      </c>
      <c r="H66" s="77" t="s">
        <v>211</v>
      </c>
      <c r="I66" s="77" t="s">
        <v>131</v>
      </c>
      <c r="J66" s="80"/>
      <c r="K66" s="77" t="s">
        <v>246</v>
      </c>
      <c r="L66" s="116" t="s">
        <v>113</v>
      </c>
      <c r="M66" s="116" t="s">
        <v>114</v>
      </c>
      <c r="N66" s="122"/>
      <c r="O66" s="122"/>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Unknown</v>
      </c>
      <c r="AN66" s="116"/>
      <c r="AO66" s="114"/>
      <c r="AP66" s="116" t="s">
        <v>213</v>
      </c>
    </row>
    <row r="67" spans="1:42" ht="30" x14ac:dyDescent="0.25">
      <c r="A67" s="117">
        <v>44467</v>
      </c>
      <c r="B67" s="76"/>
      <c r="C67" s="116">
        <v>4605504</v>
      </c>
      <c r="D67" s="116" t="s">
        <v>164</v>
      </c>
      <c r="E67" s="77">
        <v>11</v>
      </c>
      <c r="F67" s="78">
        <v>663661.21457292</v>
      </c>
      <c r="G67" s="79">
        <v>5447169.2595778303</v>
      </c>
      <c r="H67" s="77" t="s">
        <v>134</v>
      </c>
      <c r="I67" s="77" t="s">
        <v>135</v>
      </c>
      <c r="J67" s="80"/>
      <c r="K67" s="77" t="s">
        <v>249</v>
      </c>
      <c r="L67" s="116" t="s">
        <v>99</v>
      </c>
      <c r="M67" s="116" t="s">
        <v>100</v>
      </c>
      <c r="N67" s="114">
        <v>1.1499999999999999</v>
      </c>
      <c r="O67" s="114">
        <v>12.5</v>
      </c>
      <c r="P67" s="116" t="s">
        <v>96</v>
      </c>
      <c r="Q67" s="122"/>
      <c r="R67" s="116" t="s">
        <v>96</v>
      </c>
      <c r="S67" s="116" t="s">
        <v>96</v>
      </c>
      <c r="T67" s="122"/>
      <c r="U67" s="114">
        <v>1</v>
      </c>
      <c r="V67" s="116">
        <v>0.21</v>
      </c>
      <c r="W67" s="114">
        <v>0.6</v>
      </c>
      <c r="X67" s="116" t="s">
        <v>96</v>
      </c>
      <c r="Y67" s="114">
        <v>7</v>
      </c>
      <c r="Z67" s="114">
        <v>2.1</v>
      </c>
      <c r="AA67" s="116">
        <v>7.5</v>
      </c>
      <c r="AB67" s="25" t="s">
        <v>96</v>
      </c>
      <c r="AC67" s="25" t="s">
        <v>96</v>
      </c>
      <c r="AD67" s="116" t="s">
        <v>101</v>
      </c>
      <c r="AE67" s="116" t="s">
        <v>110</v>
      </c>
      <c r="AF67" s="22">
        <f t="shared" si="8"/>
        <v>1.8260869565217392</v>
      </c>
      <c r="AG67" s="15">
        <f t="shared" si="1"/>
        <v>0</v>
      </c>
      <c r="AH67" s="7">
        <f t="shared" si="2"/>
        <v>10</v>
      </c>
      <c r="AI67" s="7">
        <f t="shared" si="3"/>
        <v>5</v>
      </c>
      <c r="AJ67" s="7">
        <f t="shared" si="4"/>
        <v>10</v>
      </c>
      <c r="AK67" s="12">
        <f t="shared" si="5"/>
        <v>6</v>
      </c>
      <c r="AL67" s="14">
        <f t="shared" si="9"/>
        <v>31</v>
      </c>
      <c r="AM67" s="16" t="str">
        <f t="shared" si="7"/>
        <v>Barrier</v>
      </c>
      <c r="AN67" s="116" t="s">
        <v>293</v>
      </c>
      <c r="AO67" s="114">
        <v>12</v>
      </c>
      <c r="AP67" s="116" t="s">
        <v>214</v>
      </c>
    </row>
    <row r="68" spans="1:42" ht="30" x14ac:dyDescent="0.25">
      <c r="A68" s="117">
        <v>44467</v>
      </c>
      <c r="B68" s="76"/>
      <c r="C68" s="116">
        <v>4605502</v>
      </c>
      <c r="D68" s="116" t="s">
        <v>164</v>
      </c>
      <c r="E68" s="77">
        <v>11</v>
      </c>
      <c r="F68" s="78">
        <v>663915.38865894102</v>
      </c>
      <c r="G68" s="79">
        <v>5446488.1770808399</v>
      </c>
      <c r="H68" s="77" t="s">
        <v>134</v>
      </c>
      <c r="I68" s="77" t="s">
        <v>135</v>
      </c>
      <c r="J68" s="80"/>
      <c r="K68" s="77" t="s">
        <v>249</v>
      </c>
      <c r="L68" s="116" t="s">
        <v>99</v>
      </c>
      <c r="M68" s="116" t="s">
        <v>100</v>
      </c>
      <c r="N68" s="114">
        <v>0.6</v>
      </c>
      <c r="O68" s="114">
        <v>9</v>
      </c>
      <c r="P68" s="116" t="s">
        <v>96</v>
      </c>
      <c r="Q68" s="122"/>
      <c r="R68" s="116" t="s">
        <v>96</v>
      </c>
      <c r="S68" s="116" t="s">
        <v>96</v>
      </c>
      <c r="T68" s="122"/>
      <c r="U68" s="114">
        <v>0.5</v>
      </c>
      <c r="V68" s="116">
        <v>0.51</v>
      </c>
      <c r="W68" s="114">
        <v>0.19</v>
      </c>
      <c r="X68" s="116" t="s">
        <v>109</v>
      </c>
      <c r="Y68" s="114">
        <v>5</v>
      </c>
      <c r="Z68" s="114">
        <v>1.8</v>
      </c>
      <c r="AA68" s="116">
        <v>6.5</v>
      </c>
      <c r="AB68" s="116" t="s">
        <v>96</v>
      </c>
      <c r="AC68" s="116" t="s">
        <v>96</v>
      </c>
      <c r="AD68" s="116" t="s">
        <v>101</v>
      </c>
      <c r="AE68" s="116" t="s">
        <v>110</v>
      </c>
      <c r="AF68" s="22">
        <f t="shared" si="8"/>
        <v>3</v>
      </c>
      <c r="AG68" s="15">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10</v>
      </c>
      <c r="AK68" s="12">
        <f t="shared" ref="AK68:AK131" si="14">IF(AF68&lt;1,0,IF(AND(AF68&gt;=1,AF68&lt;1.3),3,IF(AF68&gt;=1.3,6,0)))</f>
        <v>6</v>
      </c>
      <c r="AL68" s="14">
        <f t="shared" si="9"/>
        <v>36</v>
      </c>
      <c r="AM68" s="16" t="str">
        <f t="shared" ref="AM68:AM131" si="15">IF(ISBLANK(L68), "", IF(L68 = "Open Bottom Structure", "Passable", IF(L68 = "Other", "Unknown", IF(AL68 &lt; 15, "Passable", IF(AND(AL68 &gt;= 15,AL68 &lt;= 19), "Potential", IF(AL68 &gt; 19, "Barrier", ""))))))</f>
        <v>Barrier</v>
      </c>
      <c r="AN68" s="116" t="s">
        <v>292</v>
      </c>
      <c r="AO68" s="114">
        <v>3</v>
      </c>
      <c r="AP68" s="25" t="s">
        <v>245</v>
      </c>
    </row>
    <row r="69" spans="1:42" ht="30" x14ac:dyDescent="0.25">
      <c r="A69" s="82">
        <v>44467</v>
      </c>
      <c r="B69" s="76"/>
      <c r="C69" s="25">
        <v>4605514</v>
      </c>
      <c r="D69" s="25" t="s">
        <v>164</v>
      </c>
      <c r="E69" s="77">
        <v>11</v>
      </c>
      <c r="F69" s="78">
        <v>657919.70857006696</v>
      </c>
      <c r="G69" s="79">
        <v>5452801.6807500403</v>
      </c>
      <c r="H69" s="77" t="s">
        <v>134</v>
      </c>
      <c r="I69" s="77" t="s">
        <v>135</v>
      </c>
      <c r="J69" s="80"/>
      <c r="K69" s="77" t="s">
        <v>249</v>
      </c>
      <c r="L69" s="25" t="s">
        <v>99</v>
      </c>
      <c r="M69" s="25" t="s">
        <v>100</v>
      </c>
      <c r="N69" s="114">
        <v>1.2</v>
      </c>
      <c r="O69" s="114">
        <v>11.5</v>
      </c>
      <c r="P69" s="116" t="s">
        <v>96</v>
      </c>
      <c r="Q69" s="122"/>
      <c r="R69" s="116" t="s">
        <v>96</v>
      </c>
      <c r="S69" s="116" t="s">
        <v>96</v>
      </c>
      <c r="T69" s="122"/>
      <c r="U69" s="114">
        <v>1</v>
      </c>
      <c r="V69" s="116">
        <v>1.2</v>
      </c>
      <c r="W69" s="114">
        <v>0.93</v>
      </c>
      <c r="X69" s="116" t="s">
        <v>96</v>
      </c>
      <c r="Y69" s="114">
        <v>5</v>
      </c>
      <c r="Z69" s="114">
        <v>2.2000000000000002</v>
      </c>
      <c r="AA69" s="116">
        <v>5</v>
      </c>
      <c r="AB69" s="25" t="s">
        <v>96</v>
      </c>
      <c r="AC69" s="25" t="s">
        <v>96</v>
      </c>
      <c r="AD69" s="116" t="s">
        <v>101</v>
      </c>
      <c r="AE69" s="116" t="s">
        <v>110</v>
      </c>
      <c r="AF69" s="22">
        <f t="shared" si="8"/>
        <v>1.8333333333333335</v>
      </c>
      <c r="AG69" s="15">
        <f t="shared" si="10"/>
        <v>0</v>
      </c>
      <c r="AH69" s="7">
        <f t="shared" si="11"/>
        <v>10</v>
      </c>
      <c r="AI69" s="7">
        <f t="shared" si="12"/>
        <v>10</v>
      </c>
      <c r="AJ69" s="7">
        <f t="shared" si="13"/>
        <v>10</v>
      </c>
      <c r="AK69" s="12">
        <f t="shared" si="14"/>
        <v>6</v>
      </c>
      <c r="AL69" s="14">
        <f t="shared" si="9"/>
        <v>36</v>
      </c>
      <c r="AM69" s="16" t="str">
        <f t="shared" si="15"/>
        <v>Barrier</v>
      </c>
      <c r="AN69" s="116" t="s">
        <v>293</v>
      </c>
      <c r="AO69" s="114">
        <v>12</v>
      </c>
      <c r="AP69" s="25" t="s">
        <v>215</v>
      </c>
    </row>
    <row r="70" spans="1:42" ht="30" x14ac:dyDescent="0.25">
      <c r="A70" s="82">
        <v>44467</v>
      </c>
      <c r="B70" s="76"/>
      <c r="C70" s="25">
        <v>4605531</v>
      </c>
      <c r="D70" s="25" t="s">
        <v>164</v>
      </c>
      <c r="E70" s="77">
        <v>11</v>
      </c>
      <c r="F70" s="78">
        <v>655961.664944291</v>
      </c>
      <c r="G70" s="79">
        <v>5453504.2582616303</v>
      </c>
      <c r="H70" s="77" t="s">
        <v>134</v>
      </c>
      <c r="I70" s="77" t="s">
        <v>135</v>
      </c>
      <c r="J70" s="80"/>
      <c r="K70" s="77" t="s">
        <v>249</v>
      </c>
      <c r="L70" s="25" t="s">
        <v>99</v>
      </c>
      <c r="M70" s="25" t="s">
        <v>100</v>
      </c>
      <c r="N70" s="114">
        <v>0.6</v>
      </c>
      <c r="O70" s="114">
        <v>11</v>
      </c>
      <c r="P70" s="116" t="s">
        <v>96</v>
      </c>
      <c r="Q70" s="122"/>
      <c r="R70" s="116" t="s">
        <v>96</v>
      </c>
      <c r="S70" s="116" t="s">
        <v>96</v>
      </c>
      <c r="T70" s="122"/>
      <c r="U70" s="114">
        <v>0.3</v>
      </c>
      <c r="V70" s="116">
        <v>0.6</v>
      </c>
      <c r="W70" s="114">
        <v>0.5</v>
      </c>
      <c r="X70" s="116" t="s">
        <v>109</v>
      </c>
      <c r="Y70" s="114">
        <v>4</v>
      </c>
      <c r="Z70" s="114">
        <v>2.5</v>
      </c>
      <c r="AA70" s="116">
        <v>13</v>
      </c>
      <c r="AB70" s="25" t="s">
        <v>96</v>
      </c>
      <c r="AC70" s="25" t="s">
        <v>96</v>
      </c>
      <c r="AD70" s="116" t="s">
        <v>101</v>
      </c>
      <c r="AE70" s="116" t="s">
        <v>102</v>
      </c>
      <c r="AF70" s="22">
        <f t="shared" si="8"/>
        <v>4.166666666666667</v>
      </c>
      <c r="AG70" s="15">
        <f t="shared" si="10"/>
        <v>0</v>
      </c>
      <c r="AH70" s="7">
        <f t="shared" si="11"/>
        <v>10</v>
      </c>
      <c r="AI70" s="7">
        <f t="shared" si="12"/>
        <v>10</v>
      </c>
      <c r="AJ70" s="7">
        <f t="shared" si="13"/>
        <v>10</v>
      </c>
      <c r="AK70" s="12">
        <f t="shared" si="14"/>
        <v>6</v>
      </c>
      <c r="AL70" s="14">
        <f t="shared" si="9"/>
        <v>36</v>
      </c>
      <c r="AM70" s="16" t="str">
        <f t="shared" si="15"/>
        <v>Barrier</v>
      </c>
      <c r="AN70" s="116" t="s">
        <v>293</v>
      </c>
      <c r="AO70" s="114">
        <v>12</v>
      </c>
      <c r="AP70" s="25" t="s">
        <v>216</v>
      </c>
    </row>
    <row r="71" spans="1:42" ht="30" x14ac:dyDescent="0.25">
      <c r="A71" s="117">
        <v>44468</v>
      </c>
      <c r="B71" s="76"/>
      <c r="C71" s="116">
        <v>4607449</v>
      </c>
      <c r="D71" s="116" t="s">
        <v>164</v>
      </c>
      <c r="E71" s="77">
        <v>11</v>
      </c>
      <c r="F71" s="78">
        <v>659283.85161296395</v>
      </c>
      <c r="G71" s="79">
        <v>5547543.5358720198</v>
      </c>
      <c r="H71" s="77" t="s">
        <v>217</v>
      </c>
      <c r="I71" s="77" t="s">
        <v>131</v>
      </c>
      <c r="J71" s="80"/>
      <c r="K71" s="77" t="s">
        <v>259</v>
      </c>
      <c r="L71" s="116" t="s">
        <v>113</v>
      </c>
      <c r="M71" s="116" t="s">
        <v>114</v>
      </c>
      <c r="N71" s="122"/>
      <c r="O71" s="122"/>
      <c r="P71" s="121"/>
      <c r="Q71" s="122"/>
      <c r="R71" s="121"/>
      <c r="S71" s="121"/>
      <c r="T71" s="122"/>
      <c r="U71" s="122"/>
      <c r="V71" s="121"/>
      <c r="W71" s="122"/>
      <c r="X71" s="121"/>
      <c r="Y71" s="122"/>
      <c r="Z71" s="122"/>
      <c r="AA71" s="121"/>
      <c r="AB71" s="116"/>
      <c r="AC71" s="116"/>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Unknown</v>
      </c>
      <c r="AN71" s="116"/>
      <c r="AO71" s="114"/>
      <c r="AP71" s="116" t="s">
        <v>218</v>
      </c>
    </row>
    <row r="72" spans="1:42" x14ac:dyDescent="0.25">
      <c r="A72" s="117">
        <v>44468</v>
      </c>
      <c r="B72" s="76"/>
      <c r="C72" s="116">
        <v>4600533</v>
      </c>
      <c r="D72" s="116" t="s">
        <v>221</v>
      </c>
      <c r="E72" s="77">
        <v>11</v>
      </c>
      <c r="F72" s="78">
        <v>656889.98648841598</v>
      </c>
      <c r="G72" s="79">
        <v>5554160.0389574803</v>
      </c>
      <c r="H72" s="77" t="s">
        <v>219</v>
      </c>
      <c r="I72" s="77" t="s">
        <v>131</v>
      </c>
      <c r="J72" s="80"/>
      <c r="K72" s="77" t="s">
        <v>246</v>
      </c>
      <c r="L72" s="116" t="s">
        <v>113</v>
      </c>
      <c r="M72" s="116" t="s">
        <v>114</v>
      </c>
      <c r="N72" s="122"/>
      <c r="O72" s="122"/>
      <c r="P72" s="121"/>
      <c r="Q72" s="122"/>
      <c r="R72" s="121"/>
      <c r="S72" s="121"/>
      <c r="T72" s="122"/>
      <c r="U72" s="122"/>
      <c r="V72" s="121"/>
      <c r="W72" s="122"/>
      <c r="X72" s="121"/>
      <c r="Y72" s="122"/>
      <c r="Z72" s="122"/>
      <c r="AA72" s="121"/>
      <c r="AB72" s="25"/>
      <c r="AC72" s="25"/>
      <c r="AD72" s="121"/>
      <c r="AE72" s="121"/>
      <c r="AF72" s="22">
        <f t="shared" si="8"/>
        <v>0</v>
      </c>
      <c r="AG72" s="15">
        <f t="shared" si="10"/>
        <v>0</v>
      </c>
      <c r="AH72" s="7">
        <f t="shared" si="11"/>
        <v>0</v>
      </c>
      <c r="AI72" s="7">
        <f t="shared" si="12"/>
        <v>0</v>
      </c>
      <c r="AJ72" s="7">
        <f t="shared" si="13"/>
        <v>0</v>
      </c>
      <c r="AK72" s="12">
        <f t="shared" si="14"/>
        <v>0</v>
      </c>
      <c r="AL72" s="14">
        <f t="shared" si="16"/>
        <v>0</v>
      </c>
      <c r="AM72" s="16" t="str">
        <f t="shared" si="15"/>
        <v>Unknown</v>
      </c>
      <c r="AN72" s="116"/>
      <c r="AO72" s="114"/>
      <c r="AP72" s="116" t="s">
        <v>220</v>
      </c>
    </row>
    <row r="73" spans="1:42" ht="30" x14ac:dyDescent="0.25">
      <c r="A73" s="117">
        <v>44468</v>
      </c>
      <c r="B73" s="76"/>
      <c r="C73" s="116">
        <v>2021092950</v>
      </c>
      <c r="D73" s="116" t="s">
        <v>221</v>
      </c>
      <c r="E73" s="77">
        <v>11</v>
      </c>
      <c r="F73" s="78">
        <v>649364</v>
      </c>
      <c r="G73" s="79">
        <v>5515290</v>
      </c>
      <c r="H73" s="77" t="s">
        <v>173</v>
      </c>
      <c r="I73" s="77" t="s">
        <v>174</v>
      </c>
      <c r="J73" s="80"/>
      <c r="K73" s="77" t="s">
        <v>254</v>
      </c>
      <c r="L73" s="116" t="s">
        <v>94</v>
      </c>
      <c r="M73" s="116" t="s">
        <v>95</v>
      </c>
      <c r="N73" s="114">
        <v>20</v>
      </c>
      <c r="O73" s="114">
        <v>1.5</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116" t="s">
        <v>222</v>
      </c>
    </row>
    <row r="74" spans="1:42" ht="30" x14ac:dyDescent="0.25">
      <c r="A74" s="117">
        <v>44470</v>
      </c>
      <c r="B74" s="76"/>
      <c r="C74" s="116">
        <v>4605585</v>
      </c>
      <c r="D74" s="116" t="s">
        <v>164</v>
      </c>
      <c r="E74" s="77">
        <v>11</v>
      </c>
      <c r="F74" s="78">
        <v>687464</v>
      </c>
      <c r="G74" s="79">
        <v>5432110.9699999997</v>
      </c>
      <c r="H74" s="77" t="s">
        <v>223</v>
      </c>
      <c r="I74" s="77" t="s">
        <v>224</v>
      </c>
      <c r="J74" s="80"/>
      <c r="K74" s="77" t="s">
        <v>252</v>
      </c>
      <c r="L74" s="116" t="s">
        <v>99</v>
      </c>
      <c r="M74" s="116" t="s">
        <v>100</v>
      </c>
      <c r="N74" s="114">
        <v>0.5</v>
      </c>
      <c r="O74" s="114">
        <v>10</v>
      </c>
      <c r="P74" s="116" t="s">
        <v>96</v>
      </c>
      <c r="Q74" s="122"/>
      <c r="R74" s="116" t="s">
        <v>96</v>
      </c>
      <c r="S74" s="116" t="s">
        <v>96</v>
      </c>
      <c r="T74" s="122"/>
      <c r="U74" s="114">
        <v>2</v>
      </c>
      <c r="V74" s="116">
        <v>0</v>
      </c>
      <c r="W74" s="114">
        <v>0</v>
      </c>
      <c r="X74" s="116" t="s">
        <v>109</v>
      </c>
      <c r="Y74" s="114">
        <v>2.5</v>
      </c>
      <c r="Z74" s="114">
        <v>1.7</v>
      </c>
      <c r="AA74" s="116">
        <v>4</v>
      </c>
      <c r="AB74" s="25" t="s">
        <v>96</v>
      </c>
      <c r="AC74" s="25" t="s">
        <v>96</v>
      </c>
      <c r="AD74" s="116" t="s">
        <v>101</v>
      </c>
      <c r="AE74" s="116" t="s">
        <v>102</v>
      </c>
      <c r="AF74" s="22">
        <f t="shared" si="17"/>
        <v>3.4</v>
      </c>
      <c r="AG74" s="15">
        <f t="shared" si="10"/>
        <v>0</v>
      </c>
      <c r="AH74" s="7">
        <f t="shared" si="11"/>
        <v>10</v>
      </c>
      <c r="AI74" s="7">
        <f t="shared" si="12"/>
        <v>0</v>
      </c>
      <c r="AJ74" s="7">
        <f t="shared" si="13"/>
        <v>5</v>
      </c>
      <c r="AK74" s="12">
        <f t="shared" si="14"/>
        <v>6</v>
      </c>
      <c r="AL74" s="14">
        <f t="shared" si="16"/>
        <v>21</v>
      </c>
      <c r="AM74" s="16" t="str">
        <f t="shared" si="15"/>
        <v>Barrier</v>
      </c>
      <c r="AN74" s="116" t="s">
        <v>292</v>
      </c>
      <c r="AO74" s="114">
        <v>3</v>
      </c>
      <c r="AP74" s="116" t="s">
        <v>226</v>
      </c>
    </row>
    <row r="75" spans="1:42" ht="30" x14ac:dyDescent="0.25">
      <c r="A75" s="117">
        <v>44470</v>
      </c>
      <c r="B75" s="76"/>
      <c r="C75" s="116">
        <v>4605584</v>
      </c>
      <c r="D75" s="116" t="s">
        <v>164</v>
      </c>
      <c r="E75" s="77">
        <v>11</v>
      </c>
      <c r="F75" s="78">
        <v>686674.00519517495</v>
      </c>
      <c r="G75" s="79">
        <v>5434138.98951138</v>
      </c>
      <c r="H75" s="77" t="s">
        <v>223</v>
      </c>
      <c r="I75" s="77" t="s">
        <v>224</v>
      </c>
      <c r="J75" s="80"/>
      <c r="K75" s="77" t="s">
        <v>252</v>
      </c>
      <c r="L75" s="116" t="s">
        <v>99</v>
      </c>
      <c r="M75" s="116" t="s">
        <v>100</v>
      </c>
      <c r="N75" s="114">
        <v>0.6</v>
      </c>
      <c r="O75" s="114">
        <v>11</v>
      </c>
      <c r="P75" s="116" t="s">
        <v>96</v>
      </c>
      <c r="Q75" s="122"/>
      <c r="R75" s="116" t="s">
        <v>96</v>
      </c>
      <c r="S75" s="116" t="s">
        <v>96</v>
      </c>
      <c r="T75" s="122"/>
      <c r="U75" s="114">
        <v>2</v>
      </c>
      <c r="V75" s="116">
        <v>0.13</v>
      </c>
      <c r="W75" s="114">
        <v>0.33</v>
      </c>
      <c r="X75" s="116" t="s">
        <v>96</v>
      </c>
      <c r="Y75" s="114">
        <v>4.5</v>
      </c>
      <c r="Z75" s="114">
        <v>2.1</v>
      </c>
      <c r="AA75" s="116">
        <v>3.5</v>
      </c>
      <c r="AB75" s="25" t="s">
        <v>96</v>
      </c>
      <c r="AC75" s="25" t="s">
        <v>96</v>
      </c>
      <c r="AD75" s="116" t="s">
        <v>101</v>
      </c>
      <c r="AE75" s="116" t="s">
        <v>102</v>
      </c>
      <c r="AF75" s="22">
        <f t="shared" si="17"/>
        <v>3.5000000000000004</v>
      </c>
      <c r="AG75" s="15">
        <f t="shared" si="10"/>
        <v>0</v>
      </c>
      <c r="AH75" s="7">
        <f t="shared" si="11"/>
        <v>10</v>
      </c>
      <c r="AI75" s="7">
        <f t="shared" si="12"/>
        <v>0</v>
      </c>
      <c r="AJ75" s="7">
        <f t="shared" si="13"/>
        <v>10</v>
      </c>
      <c r="AK75" s="12">
        <f t="shared" si="14"/>
        <v>6</v>
      </c>
      <c r="AL75" s="14">
        <f t="shared" si="16"/>
        <v>26</v>
      </c>
      <c r="AM75" s="16" t="str">
        <f t="shared" si="15"/>
        <v>Barrier</v>
      </c>
      <c r="AN75" s="116" t="s">
        <v>293</v>
      </c>
      <c r="AO75" s="114">
        <v>12</v>
      </c>
      <c r="AP75" s="116" t="s">
        <v>225</v>
      </c>
    </row>
    <row r="76" spans="1:42" ht="30" x14ac:dyDescent="0.25">
      <c r="A76" s="117">
        <v>44470</v>
      </c>
      <c r="B76" s="76"/>
      <c r="C76" s="116">
        <v>4605462</v>
      </c>
      <c r="D76" s="116" t="s">
        <v>164</v>
      </c>
      <c r="E76" s="77">
        <v>11</v>
      </c>
      <c r="F76" s="78">
        <v>682932.94574538001</v>
      </c>
      <c r="G76" s="79">
        <v>5442155.9993138397</v>
      </c>
      <c r="H76" s="77" t="s">
        <v>146</v>
      </c>
      <c r="I76" s="77" t="s">
        <v>227</v>
      </c>
      <c r="J76" s="80"/>
      <c r="K76" s="77" t="s">
        <v>252</v>
      </c>
      <c r="L76" s="116" t="s">
        <v>99</v>
      </c>
      <c r="M76" s="116" t="s">
        <v>100</v>
      </c>
      <c r="N76" s="114">
        <v>0.6</v>
      </c>
      <c r="O76" s="114">
        <v>29</v>
      </c>
      <c r="P76" s="116" t="s">
        <v>96</v>
      </c>
      <c r="Q76" s="122"/>
      <c r="R76" s="116" t="s">
        <v>96</v>
      </c>
      <c r="S76" s="116" t="s">
        <v>96</v>
      </c>
      <c r="T76" s="122"/>
      <c r="U76" s="114">
        <v>7</v>
      </c>
      <c r="V76" s="116">
        <v>0.09</v>
      </c>
      <c r="W76" s="114">
        <v>0.17</v>
      </c>
      <c r="X76" s="116" t="s">
        <v>96</v>
      </c>
      <c r="Y76" s="114">
        <v>3.5</v>
      </c>
      <c r="Z76" s="114">
        <v>1.2</v>
      </c>
      <c r="AA76" s="116">
        <v>2</v>
      </c>
      <c r="AB76" s="116" t="s">
        <v>96</v>
      </c>
      <c r="AC76" s="116" t="s">
        <v>96</v>
      </c>
      <c r="AD76" s="116" t="s">
        <v>101</v>
      </c>
      <c r="AE76" s="116" t="s">
        <v>102</v>
      </c>
      <c r="AF76" s="22">
        <f t="shared" si="17"/>
        <v>2</v>
      </c>
      <c r="AG76" s="15">
        <f t="shared" si="10"/>
        <v>3</v>
      </c>
      <c r="AH76" s="7">
        <f t="shared" si="11"/>
        <v>10</v>
      </c>
      <c r="AI76" s="7">
        <f t="shared" si="12"/>
        <v>0</v>
      </c>
      <c r="AJ76" s="7">
        <f t="shared" si="13"/>
        <v>10</v>
      </c>
      <c r="AK76" s="12">
        <f t="shared" si="14"/>
        <v>6</v>
      </c>
      <c r="AL76" s="14">
        <f t="shared" si="16"/>
        <v>29</v>
      </c>
      <c r="AM76" s="16" t="str">
        <f t="shared" si="15"/>
        <v>Barrier</v>
      </c>
      <c r="AN76" s="116" t="s">
        <v>292</v>
      </c>
      <c r="AO76" s="114">
        <v>3</v>
      </c>
      <c r="AP76" s="116" t="s">
        <v>228</v>
      </c>
    </row>
    <row r="77" spans="1:42" ht="30" x14ac:dyDescent="0.25">
      <c r="A77" s="117">
        <v>44472</v>
      </c>
      <c r="B77" s="76"/>
      <c r="C77" s="116">
        <v>4606241</v>
      </c>
      <c r="D77" s="116" t="s">
        <v>164</v>
      </c>
      <c r="E77" s="77">
        <v>11</v>
      </c>
      <c r="F77" s="78">
        <v>679965</v>
      </c>
      <c r="G77" s="79">
        <v>5434092</v>
      </c>
      <c r="H77" s="77" t="s">
        <v>154</v>
      </c>
      <c r="I77" s="77" t="s">
        <v>229</v>
      </c>
      <c r="J77" s="80"/>
      <c r="K77" s="77" t="s">
        <v>248</v>
      </c>
      <c r="L77" s="116" t="s">
        <v>94</v>
      </c>
      <c r="M77" s="116" t="s">
        <v>95</v>
      </c>
      <c r="N77" s="114">
        <v>16</v>
      </c>
      <c r="O77" s="114">
        <v>5</v>
      </c>
      <c r="P77" s="121"/>
      <c r="Q77" s="122"/>
      <c r="R77" s="121"/>
      <c r="S77" s="121"/>
      <c r="T77" s="122"/>
      <c r="U77" s="122"/>
      <c r="V77" s="121"/>
      <c r="W77" s="122"/>
      <c r="X77" s="121"/>
      <c r="Y77" s="122"/>
      <c r="Z77" s="122"/>
      <c r="AA77" s="121"/>
      <c r="AB77" s="116"/>
      <c r="AC77" s="116"/>
      <c r="AD77" s="121"/>
      <c r="AE77" s="121"/>
      <c r="AF77" s="22">
        <f t="shared" si="17"/>
        <v>0</v>
      </c>
      <c r="AG77" s="15">
        <f t="shared" si="10"/>
        <v>0</v>
      </c>
      <c r="AH77" s="7">
        <f t="shared" si="11"/>
        <v>0</v>
      </c>
      <c r="AI77" s="7">
        <f t="shared" si="12"/>
        <v>0</v>
      </c>
      <c r="AJ77" s="7">
        <f t="shared" si="13"/>
        <v>0</v>
      </c>
      <c r="AK77" s="12">
        <f t="shared" si="14"/>
        <v>0</v>
      </c>
      <c r="AL77" s="14">
        <f t="shared" si="16"/>
        <v>0</v>
      </c>
      <c r="AM77" s="16" t="str">
        <f t="shared" si="15"/>
        <v>Passable</v>
      </c>
      <c r="AN77" s="121"/>
      <c r="AO77" s="122"/>
      <c r="AP77" s="116" t="s">
        <v>230</v>
      </c>
    </row>
    <row r="78" spans="1:42" ht="30" x14ac:dyDescent="0.25">
      <c r="A78" s="117">
        <v>44472</v>
      </c>
      <c r="B78" s="76"/>
      <c r="C78" s="116">
        <v>4605203</v>
      </c>
      <c r="D78" s="116" t="s">
        <v>164</v>
      </c>
      <c r="E78" s="77">
        <v>11</v>
      </c>
      <c r="F78" s="78">
        <v>680152.148957595</v>
      </c>
      <c r="G78" s="79">
        <v>5433552.5424897401</v>
      </c>
      <c r="H78" s="77" t="s">
        <v>156</v>
      </c>
      <c r="I78" s="77" t="s">
        <v>231</v>
      </c>
      <c r="J78" s="80"/>
      <c r="K78" s="77" t="s">
        <v>252</v>
      </c>
      <c r="L78" s="116" t="s">
        <v>94</v>
      </c>
      <c r="M78" s="116" t="s">
        <v>95</v>
      </c>
      <c r="N78" s="114">
        <v>6</v>
      </c>
      <c r="O78" s="114">
        <v>4</v>
      </c>
      <c r="P78" s="121"/>
      <c r="Q78" s="122"/>
      <c r="R78" s="121"/>
      <c r="S78" s="121"/>
      <c r="T78" s="122"/>
      <c r="U78" s="122"/>
      <c r="V78" s="121"/>
      <c r="W78" s="122"/>
      <c r="X78" s="121"/>
      <c r="Y78" s="122"/>
      <c r="Z78" s="122"/>
      <c r="AA78" s="121"/>
      <c r="AB78" s="116"/>
      <c r="AC78" s="116"/>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116" t="s">
        <v>232</v>
      </c>
    </row>
    <row r="79" spans="1:42" ht="30" x14ac:dyDescent="0.25">
      <c r="A79" s="82">
        <v>44472</v>
      </c>
      <c r="B79" s="76"/>
      <c r="C79" s="25">
        <v>24740602</v>
      </c>
      <c r="D79" s="25" t="s">
        <v>164</v>
      </c>
      <c r="E79" s="77">
        <v>11</v>
      </c>
      <c r="F79" s="78">
        <v>680543.74169898301</v>
      </c>
      <c r="G79" s="79">
        <v>5432522.2708825599</v>
      </c>
      <c r="H79" s="77" t="s">
        <v>154</v>
      </c>
      <c r="I79" s="77" t="s">
        <v>231</v>
      </c>
      <c r="J79" s="80"/>
      <c r="K79" s="77" t="s">
        <v>248</v>
      </c>
      <c r="L79" s="25" t="s">
        <v>94</v>
      </c>
      <c r="M79" s="25" t="s">
        <v>150</v>
      </c>
      <c r="N79" s="114">
        <v>2</v>
      </c>
      <c r="O79" s="114">
        <v>10.5</v>
      </c>
      <c r="P79" s="121"/>
      <c r="Q79" s="122"/>
      <c r="R79" s="121"/>
      <c r="S79" s="121"/>
      <c r="T79" s="122"/>
      <c r="U79" s="122"/>
      <c r="V79" s="121"/>
      <c r="W79" s="122"/>
      <c r="X79" s="121"/>
      <c r="Y79" s="122"/>
      <c r="Z79" s="122"/>
      <c r="AA79" s="121"/>
      <c r="AB79" s="25"/>
      <c r="AC79" s="25"/>
      <c r="AD79" s="121"/>
      <c r="AE79" s="121"/>
      <c r="AF79" s="22">
        <f t="shared" si="17"/>
        <v>0</v>
      </c>
      <c r="AG79" s="15">
        <f t="shared" si="10"/>
        <v>0</v>
      </c>
      <c r="AH79" s="7">
        <f t="shared" si="11"/>
        <v>0</v>
      </c>
      <c r="AI79" s="7">
        <f t="shared" si="12"/>
        <v>0</v>
      </c>
      <c r="AJ79" s="7">
        <f t="shared" si="13"/>
        <v>0</v>
      </c>
      <c r="AK79" s="12">
        <f t="shared" si="14"/>
        <v>0</v>
      </c>
      <c r="AL79" s="14">
        <f t="shared" si="16"/>
        <v>0</v>
      </c>
      <c r="AM79" s="16" t="str">
        <f t="shared" si="15"/>
        <v>Passable</v>
      </c>
      <c r="AN79" s="121"/>
      <c r="AO79" s="122"/>
      <c r="AP79" s="25" t="s">
        <v>233</v>
      </c>
    </row>
    <row r="80" spans="1:42" ht="30" x14ac:dyDescent="0.25">
      <c r="A80" s="82">
        <v>44472</v>
      </c>
      <c r="B80" s="76"/>
      <c r="C80" s="25">
        <v>24740603</v>
      </c>
      <c r="D80" s="25" t="s">
        <v>164</v>
      </c>
      <c r="E80" s="77">
        <v>11</v>
      </c>
      <c r="F80" s="78">
        <v>680584.46295658196</v>
      </c>
      <c r="G80" s="79">
        <v>5432219.0444483096</v>
      </c>
      <c r="H80" s="77" t="s">
        <v>154</v>
      </c>
      <c r="I80" s="77" t="s">
        <v>231</v>
      </c>
      <c r="J80" s="80"/>
      <c r="K80" s="77" t="s">
        <v>248</v>
      </c>
      <c r="L80" s="25" t="s">
        <v>99</v>
      </c>
      <c r="M80" s="25" t="s">
        <v>100</v>
      </c>
      <c r="N80" s="114">
        <v>0.8</v>
      </c>
      <c r="O80" s="114">
        <v>10</v>
      </c>
      <c r="P80" s="116" t="s">
        <v>96</v>
      </c>
      <c r="Q80" s="122"/>
      <c r="R80" s="116" t="s">
        <v>96</v>
      </c>
      <c r="S80" s="116" t="s">
        <v>96</v>
      </c>
      <c r="T80" s="122"/>
      <c r="U80" s="114">
        <v>0.3</v>
      </c>
      <c r="V80" s="116">
        <v>0</v>
      </c>
      <c r="W80" s="114">
        <v>0</v>
      </c>
      <c r="X80" s="116" t="s">
        <v>109</v>
      </c>
      <c r="Y80" s="114">
        <v>4</v>
      </c>
      <c r="Z80" s="114">
        <v>0.8</v>
      </c>
      <c r="AA80" s="116">
        <v>2.5</v>
      </c>
      <c r="AB80" s="25" t="s">
        <v>96</v>
      </c>
      <c r="AC80" s="25" t="s">
        <v>96</v>
      </c>
      <c r="AD80" s="116" t="s">
        <v>101</v>
      </c>
      <c r="AE80" s="116" t="s">
        <v>102</v>
      </c>
      <c r="AF80" s="22">
        <f t="shared" si="17"/>
        <v>1</v>
      </c>
      <c r="AG80" s="15">
        <f t="shared" si="10"/>
        <v>0</v>
      </c>
      <c r="AH80" s="7">
        <f t="shared" si="11"/>
        <v>10</v>
      </c>
      <c r="AI80" s="7">
        <f t="shared" si="12"/>
        <v>0</v>
      </c>
      <c r="AJ80" s="7">
        <f t="shared" si="13"/>
        <v>10</v>
      </c>
      <c r="AK80" s="12">
        <f t="shared" si="14"/>
        <v>3</v>
      </c>
      <c r="AL80" s="14">
        <f t="shared" si="16"/>
        <v>23</v>
      </c>
      <c r="AM80" s="16" t="str">
        <f t="shared" si="15"/>
        <v>Barrier</v>
      </c>
      <c r="AN80" s="116" t="s">
        <v>292</v>
      </c>
      <c r="AO80" s="114">
        <v>3</v>
      </c>
      <c r="AP80" s="25" t="s">
        <v>234</v>
      </c>
    </row>
    <row r="81" spans="1:42" x14ac:dyDescent="0.25">
      <c r="A81" s="117">
        <v>44472</v>
      </c>
      <c r="B81" s="76"/>
      <c r="C81" s="116">
        <v>4602869</v>
      </c>
      <c r="D81" s="116" t="s">
        <v>164</v>
      </c>
      <c r="E81" s="77">
        <v>11</v>
      </c>
      <c r="F81" s="78">
        <v>667844.00427257305</v>
      </c>
      <c r="G81" s="79">
        <v>5434398.0286443001</v>
      </c>
      <c r="H81" s="77" t="s">
        <v>158</v>
      </c>
      <c r="I81" s="77" t="s">
        <v>131</v>
      </c>
      <c r="J81" s="80"/>
      <c r="K81" s="77" t="s">
        <v>246</v>
      </c>
      <c r="L81" s="116" t="s">
        <v>113</v>
      </c>
      <c r="M81" s="116" t="s">
        <v>114</v>
      </c>
      <c r="N81" s="122"/>
      <c r="O81" s="122"/>
      <c r="P81" s="121"/>
      <c r="Q81" s="122"/>
      <c r="R81" s="121"/>
      <c r="S81" s="121"/>
      <c r="T81" s="122"/>
      <c r="U81" s="122"/>
      <c r="V81" s="121"/>
      <c r="W81" s="122"/>
      <c r="X81" s="121"/>
      <c r="Y81" s="122"/>
      <c r="Z81" s="122"/>
      <c r="AA81" s="121"/>
      <c r="AB81" s="25"/>
      <c r="AC81" s="25"/>
      <c r="AD81" s="121"/>
      <c r="AE81" s="121"/>
      <c r="AF81" s="22">
        <f t="shared" si="17"/>
        <v>0</v>
      </c>
      <c r="AG81" s="15">
        <f t="shared" si="10"/>
        <v>0</v>
      </c>
      <c r="AH81" s="7">
        <f t="shared" si="11"/>
        <v>0</v>
      </c>
      <c r="AI81" s="7">
        <f t="shared" si="12"/>
        <v>0</v>
      </c>
      <c r="AJ81" s="7">
        <f t="shared" si="13"/>
        <v>0</v>
      </c>
      <c r="AK81" s="12">
        <f t="shared" si="14"/>
        <v>0</v>
      </c>
      <c r="AL81" s="14">
        <f t="shared" si="16"/>
        <v>0</v>
      </c>
      <c r="AM81" s="16" t="str">
        <f t="shared" si="15"/>
        <v>Unknown</v>
      </c>
      <c r="AN81" s="116"/>
      <c r="AO81" s="114"/>
      <c r="AP81" s="116" t="s">
        <v>235</v>
      </c>
    </row>
    <row r="82" spans="1:42" ht="30" x14ac:dyDescent="0.25">
      <c r="A82" s="117">
        <v>44472</v>
      </c>
      <c r="B82" s="76"/>
      <c r="C82" s="116">
        <v>4605874</v>
      </c>
      <c r="D82" s="116" t="s">
        <v>164</v>
      </c>
      <c r="E82" s="77">
        <v>11</v>
      </c>
      <c r="F82" s="78">
        <v>668597.058222641</v>
      </c>
      <c r="G82" s="79">
        <v>5434526.9798854999</v>
      </c>
      <c r="H82" s="77" t="s">
        <v>158</v>
      </c>
      <c r="I82" s="77" t="s">
        <v>131</v>
      </c>
      <c r="J82" s="80"/>
      <c r="K82" s="77" t="s">
        <v>252</v>
      </c>
      <c r="L82" s="116" t="s">
        <v>113</v>
      </c>
      <c r="M82" s="116" t="s">
        <v>114</v>
      </c>
      <c r="N82" s="122"/>
      <c r="O82" s="122"/>
      <c r="P82" s="121"/>
      <c r="Q82" s="122"/>
      <c r="R82" s="121"/>
      <c r="S82" s="121"/>
      <c r="T82" s="122"/>
      <c r="U82" s="122"/>
      <c r="V82" s="121"/>
      <c r="W82" s="122"/>
      <c r="X82" s="121"/>
      <c r="Y82" s="122"/>
      <c r="Z82" s="122"/>
      <c r="AA82" s="121"/>
      <c r="AB82" s="116"/>
      <c r="AC82" s="116"/>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Unknown</v>
      </c>
      <c r="AN82" s="116"/>
      <c r="AO82" s="114"/>
      <c r="AP82" s="116" t="s">
        <v>236</v>
      </c>
    </row>
    <row r="83" spans="1:42" ht="30" x14ac:dyDescent="0.25">
      <c r="A83" s="82">
        <v>44472</v>
      </c>
      <c r="B83" s="76"/>
      <c r="C83" s="25">
        <v>4605863</v>
      </c>
      <c r="D83" s="25" t="s">
        <v>164</v>
      </c>
      <c r="E83" s="77">
        <v>11</v>
      </c>
      <c r="F83" s="78">
        <v>673247.05978494196</v>
      </c>
      <c r="G83" s="79">
        <v>5432617.9588247202</v>
      </c>
      <c r="H83" s="77" t="s">
        <v>237</v>
      </c>
      <c r="I83" s="77" t="s">
        <v>238</v>
      </c>
      <c r="J83" s="80"/>
      <c r="K83" s="77" t="s">
        <v>252</v>
      </c>
      <c r="L83" s="25" t="s">
        <v>113</v>
      </c>
      <c r="M83" s="25" t="s">
        <v>114</v>
      </c>
      <c r="N83" s="122"/>
      <c r="O83" s="122"/>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Unknown</v>
      </c>
      <c r="AN83" s="116"/>
      <c r="AO83" s="114"/>
      <c r="AP83" s="25" t="s">
        <v>239</v>
      </c>
    </row>
    <row r="84" spans="1:42" ht="30" x14ac:dyDescent="0.25">
      <c r="A84" s="82">
        <v>44472</v>
      </c>
      <c r="B84" s="76"/>
      <c r="C84" s="25">
        <v>4605748</v>
      </c>
      <c r="D84" s="25" t="s">
        <v>164</v>
      </c>
      <c r="E84" s="77">
        <v>11</v>
      </c>
      <c r="F84" s="78">
        <v>673297.00979419297</v>
      </c>
      <c r="G84" s="79">
        <v>5432419.0572532304</v>
      </c>
      <c r="H84" s="77" t="s">
        <v>240</v>
      </c>
      <c r="I84" s="77" t="s">
        <v>241</v>
      </c>
      <c r="J84" s="80"/>
      <c r="K84" s="77" t="s">
        <v>252</v>
      </c>
      <c r="L84" s="25" t="s">
        <v>94</v>
      </c>
      <c r="M84" s="25" t="s">
        <v>95</v>
      </c>
      <c r="N84" s="114">
        <v>12.5</v>
      </c>
      <c r="O84" s="114">
        <v>4.5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242</v>
      </c>
    </row>
    <row r="85" spans="1:42" ht="30" x14ac:dyDescent="0.25">
      <c r="A85" s="117">
        <v>44404</v>
      </c>
      <c r="B85" s="76"/>
      <c r="C85" s="116">
        <v>4605826</v>
      </c>
      <c r="D85" s="116" t="s">
        <v>92</v>
      </c>
      <c r="E85" s="77">
        <v>11</v>
      </c>
      <c r="F85" s="78">
        <v>658807</v>
      </c>
      <c r="G85" s="79">
        <v>5431373</v>
      </c>
      <c r="H85" s="77" t="s">
        <v>93</v>
      </c>
      <c r="I85" s="77" t="s">
        <v>260</v>
      </c>
      <c r="J85" s="80"/>
      <c r="K85" s="77" t="s">
        <v>261</v>
      </c>
      <c r="L85" s="116" t="s">
        <v>113</v>
      </c>
      <c r="M85" s="116" t="s">
        <v>114</v>
      </c>
      <c r="N85" s="122"/>
      <c r="O85" s="122"/>
      <c r="P85" s="121"/>
      <c r="Q85" s="122"/>
      <c r="R85" s="121"/>
      <c r="S85" s="121"/>
      <c r="T85" s="122"/>
      <c r="U85" s="122"/>
      <c r="V85" s="121"/>
      <c r="W85" s="122"/>
      <c r="X85" s="121"/>
      <c r="Y85" s="122"/>
      <c r="Z85" s="122"/>
      <c r="AA85" s="121"/>
      <c r="AB85" s="25"/>
      <c r="AC85" s="25"/>
      <c r="AD85" s="121"/>
      <c r="AE85" s="121"/>
      <c r="AF85" s="22">
        <f t="shared" si="17"/>
        <v>0</v>
      </c>
      <c r="AG85" s="15">
        <f t="shared" si="10"/>
        <v>0</v>
      </c>
      <c r="AH85" s="7">
        <f t="shared" si="11"/>
        <v>0</v>
      </c>
      <c r="AI85" s="7">
        <f t="shared" si="12"/>
        <v>0</v>
      </c>
      <c r="AJ85" s="7">
        <f t="shared" si="13"/>
        <v>0</v>
      </c>
      <c r="AK85" s="12">
        <f t="shared" si="14"/>
        <v>0</v>
      </c>
      <c r="AL85" s="14">
        <f t="shared" si="16"/>
        <v>0</v>
      </c>
      <c r="AM85" s="16" t="str">
        <f t="shared" si="15"/>
        <v>Unknown</v>
      </c>
      <c r="AN85" s="116"/>
      <c r="AO85" s="114"/>
      <c r="AP85" s="116" t="s">
        <v>265</v>
      </c>
    </row>
    <row r="86" spans="1:42" ht="30" x14ac:dyDescent="0.25">
      <c r="A86" s="117">
        <v>44405</v>
      </c>
      <c r="B86" s="76"/>
      <c r="C86" s="116">
        <v>4602646</v>
      </c>
      <c r="D86" s="116" t="s">
        <v>92</v>
      </c>
      <c r="E86" s="77">
        <v>11</v>
      </c>
      <c r="F86" s="78">
        <v>647364</v>
      </c>
      <c r="G86" s="79">
        <v>5452095</v>
      </c>
      <c r="H86" s="77" t="s">
        <v>97</v>
      </c>
      <c r="I86" s="77" t="s">
        <v>262</v>
      </c>
      <c r="J86" s="80"/>
      <c r="K86" s="77" t="s">
        <v>248</v>
      </c>
      <c r="L86" s="116" t="s">
        <v>113</v>
      </c>
      <c r="M86" s="116" t="s">
        <v>114</v>
      </c>
      <c r="N86" s="122"/>
      <c r="O86" s="122"/>
      <c r="P86" s="121"/>
      <c r="Q86" s="122"/>
      <c r="R86" s="121"/>
      <c r="S86" s="121"/>
      <c r="T86" s="122"/>
      <c r="U86" s="122"/>
      <c r="V86" s="121"/>
      <c r="W86" s="122"/>
      <c r="X86" s="121"/>
      <c r="Y86" s="122"/>
      <c r="Z86" s="122"/>
      <c r="AA86" s="121"/>
      <c r="AB86" s="25"/>
      <c r="AC86" s="25"/>
      <c r="AD86" s="121"/>
      <c r="AE86" s="121"/>
      <c r="AF86" s="22">
        <f t="shared" si="17"/>
        <v>0</v>
      </c>
      <c r="AG86" s="15">
        <f t="shared" si="10"/>
        <v>0</v>
      </c>
      <c r="AH86" s="7">
        <f t="shared" si="11"/>
        <v>0</v>
      </c>
      <c r="AI86" s="7">
        <f t="shared" si="12"/>
        <v>0</v>
      </c>
      <c r="AJ86" s="7">
        <f t="shared" si="13"/>
        <v>0</v>
      </c>
      <c r="AK86" s="12">
        <f t="shared" si="14"/>
        <v>0</v>
      </c>
      <c r="AL86" s="14">
        <f t="shared" si="16"/>
        <v>0</v>
      </c>
      <c r="AM86" s="16" t="str">
        <f t="shared" si="15"/>
        <v>Unknown</v>
      </c>
      <c r="AN86" s="116"/>
      <c r="AO86" s="114"/>
      <c r="AP86" s="116" t="s">
        <v>263</v>
      </c>
    </row>
    <row r="87" spans="1:42" ht="30" x14ac:dyDescent="0.25">
      <c r="A87" s="82">
        <v>44482</v>
      </c>
      <c r="B87" s="76"/>
      <c r="C87" s="25">
        <v>2021101301</v>
      </c>
      <c r="D87" s="25" t="s">
        <v>266</v>
      </c>
      <c r="E87" s="77">
        <v>11</v>
      </c>
      <c r="F87" s="78">
        <v>636963</v>
      </c>
      <c r="G87" s="79">
        <v>5483993</v>
      </c>
      <c r="H87" s="77" t="s">
        <v>267</v>
      </c>
      <c r="I87" s="77" t="s">
        <v>268</v>
      </c>
      <c r="J87" s="80"/>
      <c r="K87" s="77" t="s">
        <v>248</v>
      </c>
      <c r="L87" s="25" t="s">
        <v>94</v>
      </c>
      <c r="M87" s="25" t="s">
        <v>95</v>
      </c>
      <c r="N87" s="114">
        <v>10</v>
      </c>
      <c r="O87" s="114">
        <v>1.6</v>
      </c>
      <c r="P87" s="121"/>
      <c r="Q87" s="122"/>
      <c r="R87" s="121"/>
      <c r="S87" s="121"/>
      <c r="T87" s="122"/>
      <c r="U87" s="122"/>
      <c r="V87" s="121"/>
      <c r="W87" s="122"/>
      <c r="X87" s="121"/>
      <c r="Y87" s="122"/>
      <c r="Z87" s="122"/>
      <c r="AA87" s="121"/>
      <c r="AB87" s="25"/>
      <c r="AC87" s="25"/>
      <c r="AD87" s="121"/>
      <c r="AE87" s="121"/>
      <c r="AF87" s="22">
        <f t="shared" si="17"/>
        <v>0</v>
      </c>
      <c r="AG87" s="15">
        <f t="shared" si="10"/>
        <v>0</v>
      </c>
      <c r="AH87" s="7">
        <f t="shared" si="11"/>
        <v>0</v>
      </c>
      <c r="AI87" s="7">
        <f t="shared" si="12"/>
        <v>0</v>
      </c>
      <c r="AJ87" s="7">
        <f t="shared" si="13"/>
        <v>0</v>
      </c>
      <c r="AK87" s="12">
        <f t="shared" si="14"/>
        <v>0</v>
      </c>
      <c r="AL87" s="14">
        <f t="shared" si="16"/>
        <v>0</v>
      </c>
      <c r="AM87" s="16" t="str">
        <f t="shared" si="15"/>
        <v>Passable</v>
      </c>
      <c r="AN87" s="121"/>
      <c r="AO87" s="122"/>
      <c r="AP87" s="25" t="s">
        <v>269</v>
      </c>
    </row>
    <row r="88" spans="1:42" ht="30" x14ac:dyDescent="0.25">
      <c r="A88" s="82">
        <v>44482</v>
      </c>
      <c r="B88" s="76"/>
      <c r="C88" s="25">
        <v>4600761</v>
      </c>
      <c r="D88" s="25" t="s">
        <v>266</v>
      </c>
      <c r="E88" s="77">
        <v>11</v>
      </c>
      <c r="F88" s="78">
        <v>637007</v>
      </c>
      <c r="G88" s="79">
        <v>5484415</v>
      </c>
      <c r="H88" s="77" t="s">
        <v>267</v>
      </c>
      <c r="I88" s="77" t="s">
        <v>145</v>
      </c>
      <c r="J88" s="80"/>
      <c r="K88" s="77" t="s">
        <v>248</v>
      </c>
      <c r="L88" s="25" t="s">
        <v>99</v>
      </c>
      <c r="M88" s="25" t="s">
        <v>100</v>
      </c>
      <c r="N88" s="114">
        <v>0.9</v>
      </c>
      <c r="O88" s="114">
        <v>8</v>
      </c>
      <c r="P88" s="116" t="s">
        <v>96</v>
      </c>
      <c r="Q88" s="122"/>
      <c r="R88" s="116" t="s">
        <v>96</v>
      </c>
      <c r="S88" s="116" t="s">
        <v>96</v>
      </c>
      <c r="T88" s="122"/>
      <c r="U88" s="114">
        <v>1</v>
      </c>
      <c r="V88" s="116">
        <v>0.5</v>
      </c>
      <c r="W88" s="114">
        <v>0.28000000000000003</v>
      </c>
      <c r="X88" s="116" t="s">
        <v>109</v>
      </c>
      <c r="Y88" s="114">
        <v>6</v>
      </c>
      <c r="Z88" s="114">
        <v>2</v>
      </c>
      <c r="AA88" s="116">
        <v>12.6</v>
      </c>
      <c r="AB88" s="25" t="s">
        <v>96</v>
      </c>
      <c r="AC88" s="25" t="s">
        <v>96</v>
      </c>
      <c r="AD88" s="116" t="s">
        <v>101</v>
      </c>
      <c r="AE88" s="116" t="s">
        <v>102</v>
      </c>
      <c r="AF88" s="22">
        <f t="shared" si="17"/>
        <v>2.2222222222222223</v>
      </c>
      <c r="AG88" s="15">
        <f t="shared" si="10"/>
        <v>0</v>
      </c>
      <c r="AH88" s="7">
        <f t="shared" si="11"/>
        <v>10</v>
      </c>
      <c r="AI88" s="7">
        <f t="shared" si="12"/>
        <v>10</v>
      </c>
      <c r="AJ88" s="7">
        <f t="shared" si="13"/>
        <v>10</v>
      </c>
      <c r="AK88" s="12">
        <f t="shared" si="14"/>
        <v>6</v>
      </c>
      <c r="AL88" s="14">
        <f t="shared" si="16"/>
        <v>36</v>
      </c>
      <c r="AM88" s="16" t="str">
        <f t="shared" si="15"/>
        <v>Barrier</v>
      </c>
      <c r="AN88" s="116" t="s">
        <v>293</v>
      </c>
      <c r="AO88" s="114">
        <v>12</v>
      </c>
      <c r="AP88" s="25" t="s">
        <v>270</v>
      </c>
    </row>
    <row r="89" spans="1:42" ht="30" x14ac:dyDescent="0.25">
      <c r="A89" s="82">
        <v>44482</v>
      </c>
      <c r="B89" s="76"/>
      <c r="C89" s="25">
        <v>2021101302</v>
      </c>
      <c r="D89" s="25" t="s">
        <v>266</v>
      </c>
      <c r="E89" s="77">
        <v>11</v>
      </c>
      <c r="F89" s="78">
        <v>636912</v>
      </c>
      <c r="G89" s="79">
        <v>5484249</v>
      </c>
      <c r="H89" s="77" t="s">
        <v>267</v>
      </c>
      <c r="I89" s="77" t="s">
        <v>145</v>
      </c>
      <c r="J89" s="80"/>
      <c r="K89" s="77" t="s">
        <v>248</v>
      </c>
      <c r="L89" s="25" t="s">
        <v>99</v>
      </c>
      <c r="M89" s="25" t="s">
        <v>100</v>
      </c>
      <c r="N89" s="114">
        <v>0.6</v>
      </c>
      <c r="O89" s="114">
        <v>9</v>
      </c>
      <c r="P89" s="116" t="s">
        <v>96</v>
      </c>
      <c r="Q89" s="122"/>
      <c r="R89" s="116" t="s">
        <v>96</v>
      </c>
      <c r="S89" s="116" t="s">
        <v>96</v>
      </c>
      <c r="T89" s="122"/>
      <c r="U89" s="114">
        <v>1</v>
      </c>
      <c r="V89" s="116">
        <v>0.28999999999999998</v>
      </c>
      <c r="W89" s="114">
        <v>0.21</v>
      </c>
      <c r="X89" s="116" t="s">
        <v>109</v>
      </c>
      <c r="Y89" s="114">
        <v>2</v>
      </c>
      <c r="Z89" s="114">
        <v>0.5</v>
      </c>
      <c r="AA89" s="116">
        <v>11</v>
      </c>
      <c r="AB89" s="25" t="s">
        <v>96</v>
      </c>
      <c r="AC89" s="25" t="s">
        <v>96</v>
      </c>
      <c r="AD89" s="116" t="s">
        <v>101</v>
      </c>
      <c r="AE89" s="116" t="s">
        <v>102</v>
      </c>
      <c r="AF89" s="22">
        <f t="shared" si="17"/>
        <v>0.83333333333333337</v>
      </c>
      <c r="AG89" s="15">
        <f t="shared" si="10"/>
        <v>0</v>
      </c>
      <c r="AH89" s="7">
        <f t="shared" si="11"/>
        <v>10</v>
      </c>
      <c r="AI89" s="7">
        <f t="shared" si="12"/>
        <v>5</v>
      </c>
      <c r="AJ89" s="7">
        <f t="shared" si="13"/>
        <v>5</v>
      </c>
      <c r="AK89" s="12">
        <f t="shared" si="14"/>
        <v>0</v>
      </c>
      <c r="AL89" s="14">
        <f t="shared" si="16"/>
        <v>20</v>
      </c>
      <c r="AM89" s="16" t="str">
        <f t="shared" si="15"/>
        <v>Barrier</v>
      </c>
      <c r="AN89" s="116" t="s">
        <v>292</v>
      </c>
      <c r="AO89" s="114">
        <v>3</v>
      </c>
      <c r="AP89" s="25" t="s">
        <v>271</v>
      </c>
    </row>
    <row r="90" spans="1:42" ht="30" x14ac:dyDescent="0.25">
      <c r="A90" s="117">
        <v>44483</v>
      </c>
      <c r="B90" s="76"/>
      <c r="C90" s="25">
        <v>4605652</v>
      </c>
      <c r="D90" s="25" t="s">
        <v>189</v>
      </c>
      <c r="E90" s="77">
        <v>11</v>
      </c>
      <c r="F90" s="78">
        <v>647282</v>
      </c>
      <c r="G90" s="79">
        <v>5574968</v>
      </c>
      <c r="H90" s="77" t="s">
        <v>190</v>
      </c>
      <c r="I90" s="77" t="s">
        <v>272</v>
      </c>
      <c r="J90" s="80"/>
      <c r="K90" s="77" t="s">
        <v>255</v>
      </c>
      <c r="L90" s="25" t="s">
        <v>99</v>
      </c>
      <c r="M90" s="25" t="s">
        <v>100</v>
      </c>
      <c r="N90" s="114">
        <v>0.3</v>
      </c>
      <c r="O90" s="114">
        <v>0.8</v>
      </c>
      <c r="P90" s="116" t="s">
        <v>96</v>
      </c>
      <c r="Q90" s="122"/>
      <c r="R90" s="116" t="s">
        <v>96</v>
      </c>
      <c r="S90" s="116" t="s">
        <v>96</v>
      </c>
      <c r="T90" s="122"/>
      <c r="U90" s="114">
        <v>0.25</v>
      </c>
      <c r="V90" s="116">
        <v>0.2</v>
      </c>
      <c r="W90" s="114">
        <v>0.06</v>
      </c>
      <c r="X90" s="116" t="s">
        <v>96</v>
      </c>
      <c r="Y90" s="114">
        <v>2</v>
      </c>
      <c r="Z90" s="114">
        <v>1</v>
      </c>
      <c r="AA90" s="116">
        <v>26</v>
      </c>
      <c r="AB90" s="25" t="s">
        <v>96</v>
      </c>
      <c r="AC90" s="25" t="s">
        <v>96</v>
      </c>
      <c r="AD90" s="116" t="s">
        <v>101</v>
      </c>
      <c r="AE90" s="116" t="s">
        <v>102</v>
      </c>
      <c r="AF90" s="22">
        <f t="shared" si="17"/>
        <v>3.3333333333333335</v>
      </c>
      <c r="AG90" s="15">
        <f t="shared" si="10"/>
        <v>0</v>
      </c>
      <c r="AH90" s="7">
        <f t="shared" si="11"/>
        <v>10</v>
      </c>
      <c r="AI90" s="7">
        <f t="shared" si="12"/>
        <v>5</v>
      </c>
      <c r="AJ90" s="7">
        <f t="shared" si="13"/>
        <v>5</v>
      </c>
      <c r="AK90" s="12">
        <f t="shared" si="14"/>
        <v>6</v>
      </c>
      <c r="AL90" s="14">
        <f t="shared" si="16"/>
        <v>26</v>
      </c>
      <c r="AM90" s="16" t="str">
        <f t="shared" si="15"/>
        <v>Barrier</v>
      </c>
      <c r="AN90" s="116" t="s">
        <v>292</v>
      </c>
      <c r="AO90" s="114">
        <v>3</v>
      </c>
      <c r="AP90" s="25" t="s">
        <v>273</v>
      </c>
    </row>
    <row r="91" spans="1:42" x14ac:dyDescent="0.25">
      <c r="A91" s="117">
        <v>44484</v>
      </c>
      <c r="B91" s="76"/>
      <c r="C91" s="25">
        <v>4600992</v>
      </c>
      <c r="D91" s="25" t="s">
        <v>274</v>
      </c>
      <c r="E91" s="77">
        <v>11</v>
      </c>
      <c r="F91" s="78">
        <v>647734</v>
      </c>
      <c r="G91" s="79">
        <v>5494404</v>
      </c>
      <c r="H91" s="77" t="s">
        <v>195</v>
      </c>
      <c r="I91" s="77" t="s">
        <v>145</v>
      </c>
      <c r="J91" s="80"/>
      <c r="K91" s="77" t="s">
        <v>259</v>
      </c>
      <c r="L91" s="25" t="s">
        <v>99</v>
      </c>
      <c r="M91" s="25" t="s">
        <v>100</v>
      </c>
      <c r="N91" s="114">
        <v>2.2999999999999998</v>
      </c>
      <c r="O91" s="114">
        <v>13</v>
      </c>
      <c r="P91" s="116" t="s">
        <v>96</v>
      </c>
      <c r="Q91" s="122"/>
      <c r="R91" s="116" t="s">
        <v>96</v>
      </c>
      <c r="S91" s="116" t="s">
        <v>96</v>
      </c>
      <c r="T91" s="122"/>
      <c r="U91" s="114">
        <v>0.5</v>
      </c>
      <c r="V91" s="116">
        <v>0.25</v>
      </c>
      <c r="W91" s="114">
        <v>0.56999999999999995</v>
      </c>
      <c r="X91" s="116" t="s">
        <v>96</v>
      </c>
      <c r="Y91" s="114">
        <v>2</v>
      </c>
      <c r="Z91" s="114">
        <v>4.0999999999999996</v>
      </c>
      <c r="AA91" s="116">
        <v>11</v>
      </c>
      <c r="AB91" s="25" t="s">
        <v>96</v>
      </c>
      <c r="AC91" s="25" t="s">
        <v>109</v>
      </c>
      <c r="AD91" s="116" t="s">
        <v>101</v>
      </c>
      <c r="AE91" s="116" t="s">
        <v>163</v>
      </c>
      <c r="AF91" s="22">
        <f t="shared" si="17"/>
        <v>1.7826086956521738</v>
      </c>
      <c r="AG91" s="15">
        <f t="shared" si="10"/>
        <v>0</v>
      </c>
      <c r="AH91" s="7">
        <f t="shared" si="11"/>
        <v>10</v>
      </c>
      <c r="AI91" s="7">
        <f t="shared" si="12"/>
        <v>5</v>
      </c>
      <c r="AJ91" s="7">
        <f t="shared" si="13"/>
        <v>5</v>
      </c>
      <c r="AK91" s="12">
        <f t="shared" si="14"/>
        <v>6</v>
      </c>
      <c r="AL91" s="14">
        <f t="shared" si="16"/>
        <v>26</v>
      </c>
      <c r="AM91" s="16" t="str">
        <f t="shared" si="15"/>
        <v>Barrier</v>
      </c>
      <c r="AN91" s="116" t="s">
        <v>293</v>
      </c>
      <c r="AO91" s="114">
        <v>12</v>
      </c>
      <c r="AP91" s="25" t="s">
        <v>275</v>
      </c>
    </row>
    <row r="92" spans="1:42" ht="30" x14ac:dyDescent="0.25">
      <c r="A92" s="82">
        <v>44467</v>
      </c>
      <c r="B92" s="76"/>
      <c r="C92" s="25">
        <v>4603553</v>
      </c>
      <c r="D92" s="25" t="s">
        <v>164</v>
      </c>
      <c r="E92" s="77">
        <v>11</v>
      </c>
      <c r="F92" s="78">
        <v>664112</v>
      </c>
      <c r="G92" s="79">
        <v>5445241</v>
      </c>
      <c r="H92" s="77" t="s">
        <v>134</v>
      </c>
      <c r="I92" s="77" t="s">
        <v>131</v>
      </c>
      <c r="J92" s="80"/>
      <c r="K92" s="77" t="s">
        <v>248</v>
      </c>
      <c r="L92" s="25" t="s">
        <v>113</v>
      </c>
      <c r="M92" s="25" t="s">
        <v>114</v>
      </c>
      <c r="N92" s="122"/>
      <c r="O92" s="122"/>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Unknown</v>
      </c>
      <c r="AN92" s="116"/>
      <c r="AO92" s="114"/>
      <c r="AP92" s="25" t="s">
        <v>279</v>
      </c>
    </row>
    <row r="93" spans="1:42" ht="30" x14ac:dyDescent="0.25">
      <c r="A93" s="82">
        <v>44472</v>
      </c>
      <c r="B93" s="76"/>
      <c r="C93" s="25">
        <v>4602849</v>
      </c>
      <c r="D93" s="25" t="s">
        <v>164</v>
      </c>
      <c r="E93" s="77">
        <v>11</v>
      </c>
      <c r="F93" s="78">
        <v>681898</v>
      </c>
      <c r="G93" s="79">
        <v>6430912</v>
      </c>
      <c r="H93" s="77" t="s">
        <v>154</v>
      </c>
      <c r="I93" s="77" t="s">
        <v>131</v>
      </c>
      <c r="J93" s="80"/>
      <c r="K93" s="77" t="s">
        <v>248</v>
      </c>
      <c r="L93" s="25" t="s">
        <v>113</v>
      </c>
      <c r="M93" s="25" t="s">
        <v>114</v>
      </c>
      <c r="N93" s="122"/>
      <c r="O93" s="122"/>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Unknown</v>
      </c>
      <c r="AN93" s="116"/>
      <c r="AO93" s="114"/>
      <c r="AP93" s="25" t="s">
        <v>280</v>
      </c>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uqAbWCI9LSO04wckkDk/BNSVvK8l21n+yhUVUja7JdMdkmpT8NtXN7yP7br1VoylubPS02XF4Y9lGDIvWTRPA==" saltValue="iAO7PNF18GJirxfU9o85B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9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 Q26 Q29:Q31 Q33 Q36:Q39 Q41 Q43:Q49 Q51 Q56 Q62:Q65 Q85 Q72 Q83 Q9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16 N22 N26 N29:N31 N33 N36:N39 N41 N43:N49 N51 N56 N85 N62:N64 N72 N83 N9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23:Q24 Q55 Q68 Q70:Q71 Q75:Q76 Q8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Q16 Q82 Q80"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9:M20 M17 M9 M5:M7 M61 M35 M32 M73 M77:M79 M65 M84 M87" xr:uid="{D1F7E3EA-E9C2-4DD7-9FD2-43B7C644ADE9}">
      <formula1>"Bridge, Pipe Arch, Wood Box Culvert"</formula1>
    </dataValidation>
    <dataValidation type="decimal" allowBlank="1" showInputMessage="1" showErrorMessage="1" errorTitle="Invalid Diamter or Span" error="The Diameter or Span entered is invalid. Diameter or Span must be &gt; 0 and &lt; 100" sqref="N19:N20 N17 N9 N5:N7 N61 N35 N32 N73 N65:N66 N81 N84 N77:N79 N86:N87" xr:uid="{0D8D704D-7726-437A-B12A-6A5EDF0766E1}">
      <formula1>0.01</formula1>
      <formula2>100</formula2>
    </dataValidation>
    <dataValidation type="decimal" allowBlank="1" showInputMessage="1" showErrorMessage="1" errorTitle="Invalid value entered" error="The Average Depth Embededdment you entered is invalid. The Average Depth Embededdment must be &lt;= 7.49 and &gt;= 0.01" sqref="Q5" xr:uid="{35FDBD0D-68B0-4337-B847-17DEE387DD2C}">
      <formula1>0.01</formula1>
      <formula2>7.49</formula2>
    </dataValidation>
    <dataValidation type="decimal" allowBlank="1" showInputMessage="1" showErrorMessage="1" errorTitle="Invalid value entered" error="The Average Depth Embededdment you entered is invalid. The Average Depth Embededdment must be &lt;= 13.99 and &gt;= 0.01" sqref="Q6 Q19 Q9" xr:uid="{F8A7DA8D-0E8C-4382-8332-D0E3ABDAA3E0}">
      <formula1>0.01</formula1>
      <formula2>13.99</formula2>
    </dataValidation>
    <dataValidation type="decimal" allowBlank="1" showInputMessage="1" showErrorMessage="1" errorTitle="Invalid value entered" error="The Average Depth Embededdment you entered is invalid. The Average Depth Embededdment must be &lt;= 11.99 and &gt;= 0.01" sqref="Q7" xr:uid="{F1D02A66-87D4-4129-A38D-FA9677558C8F}">
      <formula1>0.01</formula1>
      <formula2>11.99</formula2>
    </dataValidation>
    <dataValidation type="list" allowBlank="1" showInputMessage="1" showErrorMessage="1" errorTitle="Invalid value entered" error="The crossing subtype is not compatible with a crossing type of Closed Bottom Structure" sqref="M8 M18 M10:M12 M27 M23:M25 M21 M57:M60 M52:M55 M50 M42 M40 M34 M67:M70 M80 M74:M76 M88:M91" xr:uid="{10204796-64E5-4E42-B4A6-0970FA9829F9}">
      <formula1>"Round Culvert,Oval Culvert,Concrete Box"</formula1>
    </dataValidation>
    <dataValidation type="decimal" allowBlank="1" showInputMessage="1" showErrorMessage="1" errorTitle="Invalid Diamter or Span" error="The Diameter or Span entered is invalid. Diameter or Span must be &gt; 0 and &lt; 300" sqref="N8 N18 N10:N12 N27:N28 N23:N25 N21 N57:N60 N52:N55 N50 N42 N40 N34 N82 N67:N71 N80 N74:N76 N88:N91" xr:uid="{7AF3CECA-5663-495A-9E4B-FAF92BC8B4E3}">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8" xr:uid="{126FDC0B-8571-4FE3-B827-26A7F1DB39A7}">
      <formula1>0.01</formula1>
      <formula2>0.39</formula2>
    </dataValidation>
    <dataValidation type="decimal" allowBlank="1" showInputMessage="1" showErrorMessage="1" errorTitle="Invalid value entered" error="The Average Depth Embededdment you entered is invalid. The Average Depth Embededdment must be &lt;= 0.99 and &gt;= 0.01" sqref="Q10 Q42" xr:uid="{2E075521-FF46-482B-BA93-941A9BC0A1BF}">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1 Q69" xr:uid="{729FFAA0-CC6B-43FA-AFBA-D1EA6AA55C44}">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12 Q81 Q79" xr:uid="{37636F7A-F3C8-4A5F-9E95-089C64DF0C25}">
      <formula1>0.01</formula1>
      <formula2>1.99</formula2>
    </dataValidation>
    <dataValidation type="list" allowBlank="1" showInputMessage="1" showErrorMessage="1" errorTitle="Invalid value entered" error="The crossing subtype is not compatible with a crossing type of Other" sqref="M13:M16 M26 M22 M56 M51 M43:M49 M41 M36:M39 M33 M28:M31 M62:M64 M71:M72 M66 M81:M83 M85:M86 M92:M93" xr:uid="{7DBA6471-F0FE-4EEB-AEB3-74C6F5C3BE7C}">
      <formula1>"Ford"</formula1>
    </dataValidation>
    <dataValidation type="decimal" allowBlank="1" showInputMessage="1" showErrorMessage="1" errorTitle="Invalid value entered" error="The Average Depth Embededdment you entered is invalid. The Average Depth Embededdment must be &lt;= 7.99 and &gt;= 0.01" sqref="Q17" xr:uid="{4F80BA8C-0F74-4747-9150-7240ACB4A0EA}">
      <formula1>0.01</formula1>
      <formula2>7.99</formula2>
    </dataValidation>
    <dataValidation type="decimal" allowBlank="1" showInputMessage="1" showErrorMessage="1" errorTitle="Invalid value entered" error="The Average Depth Embededdment you entered is invalid. The Average Depth Embededdment must be &lt;= 1.49 and &gt;= 0.01" sqref="Q18 Q58" xr:uid="{A3AA70EF-7D63-4EBB-95FD-C3F16606CD55}">
      <formula1>0.01</formula1>
      <formula2>1.49</formula2>
    </dataValidation>
    <dataValidation type="decimal" allowBlank="1" showInputMessage="1" showErrorMessage="1" errorTitle="Invalid value entered" error="The Average Depth Embededdment you entered is invalid. The Average Depth Embededdment must be &lt;= 17.99 and &gt;= 0.01" sqref="Q20" xr:uid="{EBC2CA52-C2DF-4084-816D-26CB7BB4F42F}">
      <formula1>0.01</formula1>
      <formula2>17.99</formula2>
    </dataValidation>
    <dataValidation type="decimal" allowBlank="1" showInputMessage="1" showErrorMessage="1" errorTitle="Invalid value entered" error="The Average Depth Embededdment you entered is invalid. The Average Depth Embededdment must be &lt;= 1.59 and &gt;= 0.01" sqref="Q21" xr:uid="{61373D50-5976-44AD-A0E8-33976F9EB61A}">
      <formula1>0.01</formula1>
      <formula2>1.59</formula2>
    </dataValidation>
    <dataValidation type="decimal" allowBlank="1" showInputMessage="1" showErrorMessage="1" errorTitle="Invalid value entered" error="The Average Depth Embededdment you entered is invalid. The Average Depth Embededdment must be &lt;= 1.74 and &gt;= 0.01" sqref="Q25 Q28 Q59" xr:uid="{615E73FB-AC63-4995-9DAF-C2A93A25B904}">
      <formula1>0.01</formula1>
      <formula2>1.74</formula2>
    </dataValidation>
    <dataValidation type="decimal" allowBlank="1" showInputMessage="1" showErrorMessage="1" errorTitle="Invalid value entered" error="The Average Depth Embededdment you entered is invalid. The Average Depth Embededdment must be &lt;= 0.89 and &gt;= 0.01" sqref="Q27 Q88" xr:uid="{0D3B399E-FD42-45FB-9457-685130EBE1BA}">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32" xr:uid="{9E29C27C-5AA5-4E79-8C82-972898082D49}">
      <formula1>0.01</formula1>
      <formula2>1.79</formula2>
    </dataValidation>
    <dataValidation type="decimal" allowBlank="1" showInputMessage="1" showErrorMessage="1" errorTitle="Invalid value entered" error="The Average Depth Embededdment you entered is invalid. The Average Depth Embededdment must be &lt;= 0.29 and &gt;= 0.01" sqref="Q34 Q90" xr:uid="{96157466-4033-408F-B5A4-A8E7E7EA3DD0}">
      <formula1>0.01</formula1>
      <formula2>0.29</formula2>
    </dataValidation>
    <dataValidation type="decimal" allowBlank="1" showInputMessage="1" showErrorMessage="1" errorTitle="Invalid value entered" error="The Average Depth Embededdment you entered is invalid. The Average Depth Embededdment must be &lt;= 9.99 and &gt;= 0.01" sqref="Q35 Q61 Q87" xr:uid="{EBCB5B64-9BFC-4784-A2F7-BC9CA80A51FD}">
      <formula1>0.01</formula1>
      <formula2>9.99</formula2>
    </dataValidation>
    <dataValidation type="decimal" allowBlank="1" showInputMessage="1" showErrorMessage="1" errorTitle="Invalid value entered" error="The Average Depth Embededdment you entered is invalid. The Average Depth Embededdment must be &lt;= 4.49 and &gt;= 0.01" sqref="Q40" xr:uid="{A0007C60-CDCD-48F4-B350-E95BC37F115E}">
      <formula1>0.01</formula1>
      <formula2>4.49</formula2>
    </dataValidation>
    <dataValidation type="decimal" allowBlank="1" showInputMessage="1" showErrorMessage="1" errorTitle="Invalid value entered" error="The Average Depth Embededdment you entered is invalid. The Average Depth Embededdment must be &lt;= 2.69 and &gt;= 0.01" sqref="Q50" xr:uid="{B12204D9-438F-466D-AD16-9548403B7C34}">
      <formula1>0.01</formula1>
      <formula2>2.69</formula2>
    </dataValidation>
    <dataValidation type="decimal" allowBlank="1" showInputMessage="1" showErrorMessage="1" errorTitle="Invalid value entered" error="The Average Depth Embededdment you entered is invalid. The Average Depth Embededdment must be &lt;= 4.99 and &gt;= 0.01" sqref="Q52 Q57" xr:uid="{AF2EDB36-87DE-4E30-9913-95EAB1E6E131}">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53" xr:uid="{9F57D85A-7075-4BD3-AA9B-8B52BC1C7AB5}">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54 Q74" xr:uid="{AFD08696-C098-43ED-8737-38155BF17FAB}">
      <formula1>0.01</formula1>
      <formula2>0.49</formula2>
    </dataValidation>
    <dataValidation type="decimal" allowBlank="1" showInputMessage="1" showErrorMessage="1" errorTitle="Invalid value entered" error="The Average Depth Embededdment you entered is invalid. The Average Depth Embededdment must be &lt;= 2.49 and &gt;= 0.01" sqref="Q60" xr:uid="{68E3EB33-EA32-4DF3-AF87-7EDC78EDEA35}">
      <formula1>0.01</formula1>
      <formula2>2.49</formula2>
    </dataValidation>
    <dataValidation type="decimal" allowBlank="1" showInputMessage="1" showErrorMessage="1" errorTitle="Invalid value entered" error="The Average Depth Embededdment you entered is invalid. The Average Depth Embededdment must be &lt;= 14.99 and &gt;= 0.01" sqref="Q66" xr:uid="{975426F5-C613-44E7-91FC-24C7B10D62F3}">
      <formula1>0.01</formula1>
      <formula2>14.99</formula2>
    </dataValidation>
    <dataValidation type="decimal" allowBlank="1" showInputMessage="1" showErrorMessage="1" errorTitle="Invalid value entered" error="The Average Depth Embededdment you entered is invalid. The Average Depth Embededdment must be &lt;= 19.99 and &gt;= 0.01" sqref="Q73" xr:uid="{57B06DDB-3548-426E-BF13-FB6EBBB184B8}">
      <formula1>0.01</formula1>
      <formula2>19.99</formula2>
    </dataValidation>
    <dataValidation type="decimal" allowBlank="1" showInputMessage="1" showErrorMessage="1" errorTitle="Invalid value entered" error="The Average Depth Embededdment you entered is invalid. The Average Depth Embededdment must be &lt;= 12.49 and &gt;= 0.01" sqref="Q86 Q84" xr:uid="{92D2BBEA-BCF3-405A-AFED-8EA5265662C0}">
      <formula1>0.01</formula1>
      <formula2>12.49</formula2>
    </dataValidation>
    <dataValidation type="decimal" allowBlank="1" showInputMessage="1" showErrorMessage="1" errorTitle="Invalid value entered" error="The Average Depth Embededdment you entered is invalid. The Average Depth Embededdment must be &lt;= 1.14 and &gt;= 0.01" sqref="Q67" xr:uid="{2CB3DA2E-F7EA-41DE-83DA-17B6F5613D4A}">
      <formula1>0.01</formula1>
      <formula2>1.14</formula2>
    </dataValidation>
    <dataValidation type="decimal" allowBlank="1" showInputMessage="1" showErrorMessage="1" errorTitle="Invalid value entered" error="The Average Depth Embededdment you entered is invalid. The Average Depth Embededdment must be &lt;= 15.99 and &gt;= 0.01" sqref="Q77" xr:uid="{9B2FCEE4-6B2C-754C-9D6D-D38D417BEDD6}">
      <formula1>0.01</formula1>
      <formula2>15.99</formula2>
    </dataValidation>
    <dataValidation type="decimal" allowBlank="1" showInputMessage="1" showErrorMessage="1" errorTitle="Invalid value entered" error="The Average Depth Embededdment you entered is invalid. The Average Depth Embededdment must be &lt;= 5.99 and &gt;= 0.01" sqref="Q78" xr:uid="{EAF235F1-2C13-8540-8251-DCB2D21CFF16}">
      <formula1>0.01</formula1>
      <formula2>5.99</formula2>
    </dataValidation>
    <dataValidation type="decimal" allowBlank="1" showInputMessage="1" showErrorMessage="1" errorTitle="Invalid value entered" error="The Average Depth Embededdment you entered is invalid. The Average Depth Embededdment must be &lt;= 2.29 and &gt;= 0.01" sqref="Q91" xr:uid="{01F127B3-5E28-4C57-823C-E6B20CA1E377}">
      <formula1>0.01</formula1>
      <formula2>2.29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2022-01-25T18:21:06Z</dcterms:modified>
</cp:coreProperties>
</file>