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86A7B123-7FAE-4B9E-A059-9EB949FC0892}" xr6:coauthVersionLast="47" xr6:coauthVersionMax="47" xr10:uidLastSave="{00000000-0000-0000-0000-000000000000}"/>
  <bookViews>
    <workbookView xWindow="34470" yWindow="2715" windowWidth="21600" windowHeight="1183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L5282" i="2" s="1"/>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L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L5216" i="2" s="1"/>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L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L5192" i="2" s="1"/>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L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L5168" i="2" s="1"/>
  <c r="AG5168" i="2"/>
  <c r="AF5168" i="2"/>
  <c r="AK5168" i="2"/>
  <c r="AJ5167" i="2"/>
  <c r="AI5167" i="2"/>
  <c r="AH5167" i="2"/>
  <c r="AG5167" i="2"/>
  <c r="AF5167" i="2"/>
  <c r="AK5167" i="2" s="1"/>
  <c r="AJ5166" i="2"/>
  <c r="AI5166" i="2"/>
  <c r="AL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L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L5146" i="2" s="1"/>
  <c r="AI5146" i="2"/>
  <c r="AH5146" i="2"/>
  <c r="AG5146" i="2"/>
  <c r="AF5146" i="2"/>
  <c r="AK5146" i="2" s="1"/>
  <c r="AJ5145" i="2"/>
  <c r="AI5145" i="2"/>
  <c r="AH5145" i="2"/>
  <c r="AG5145" i="2"/>
  <c r="AF5145" i="2"/>
  <c r="AK5145" i="2"/>
  <c r="AJ5144" i="2"/>
  <c r="AI5144" i="2"/>
  <c r="AL5144" i="2" s="1"/>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L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s="1"/>
  <c r="AL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L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L8" i="2" s="1"/>
  <c r="AM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L48" i="2" s="1"/>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L168" i="2" s="1"/>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L297" i="2" s="1"/>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L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L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L759" i="2" s="1"/>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L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s="1"/>
  <c r="AG949" i="2"/>
  <c r="AH949" i="2"/>
  <c r="AI949" i="2"/>
  <c r="AJ949" i="2"/>
  <c r="AF950" i="2"/>
  <c r="AK950" i="2"/>
  <c r="AL950" i="2" s="1"/>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L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L1249" i="2" s="1"/>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L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L1509" i="2" s="1"/>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L1611" i="2" s="1"/>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L1615" i="2" s="1"/>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L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L1658" i="2" s="1"/>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L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L1682" i="2" s="1"/>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L1706" i="2" s="1"/>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L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L1732" i="2" s="1"/>
  <c r="AG1732" i="2"/>
  <c r="AH1732" i="2"/>
  <c r="AI1732" i="2"/>
  <c r="AJ1732" i="2"/>
  <c r="AF1733" i="2"/>
  <c r="AK1733" i="2" s="1"/>
  <c r="AG1733" i="2"/>
  <c r="AH1733" i="2"/>
  <c r="AI1733" i="2"/>
  <c r="AJ1733" i="2"/>
  <c r="AF1734" i="2"/>
  <c r="AK1734" i="2" s="1"/>
  <c r="AG1734" i="2"/>
  <c r="AH1734" i="2"/>
  <c r="AL1734" i="2" s="1"/>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L1744" i="2" s="1"/>
  <c r="AG1744" i="2"/>
  <c r="AH1744" i="2"/>
  <c r="AI1744" i="2"/>
  <c r="AJ1744" i="2"/>
  <c r="AF1745" i="2"/>
  <c r="AK1745" i="2" s="1"/>
  <c r="AG1745" i="2"/>
  <c r="AH1745" i="2"/>
  <c r="AI1745" i="2"/>
  <c r="AJ1745" i="2"/>
  <c r="AF1746" i="2"/>
  <c r="AK1746" i="2" s="1"/>
  <c r="AG1746" i="2"/>
  <c r="AH1746" i="2"/>
  <c r="AL1746" i="2" s="1"/>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L1756" i="2" s="1"/>
  <c r="AG1756" i="2"/>
  <c r="AH1756" i="2"/>
  <c r="AI1756" i="2"/>
  <c r="AJ1756" i="2"/>
  <c r="AF1757" i="2"/>
  <c r="AK1757" i="2" s="1"/>
  <c r="AG1757" i="2"/>
  <c r="AH1757" i="2"/>
  <c r="AI1757" i="2"/>
  <c r="AJ1757" i="2"/>
  <c r="AF1758" i="2"/>
  <c r="AK1758" i="2" s="1"/>
  <c r="AG1758" i="2"/>
  <c r="AH1758" i="2"/>
  <c r="AL1758" i="2" s="1"/>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L1768" i="2" s="1"/>
  <c r="AG1768" i="2"/>
  <c r="AH1768" i="2"/>
  <c r="AI1768" i="2"/>
  <c r="AJ1768" i="2"/>
  <c r="AF1769" i="2"/>
  <c r="AK1769" i="2" s="1"/>
  <c r="AG1769" i="2"/>
  <c r="AH1769" i="2"/>
  <c r="AI1769" i="2"/>
  <c r="AJ1769" i="2"/>
  <c r="AF1770" i="2"/>
  <c r="AK1770" i="2" s="1"/>
  <c r="AG1770" i="2"/>
  <c r="AH1770" i="2"/>
  <c r="AL1770" i="2" s="1"/>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L2004" i="2" s="1"/>
  <c r="AI2004" i="2"/>
  <c r="AJ2004" i="2"/>
  <c r="AF2005" i="2"/>
  <c r="AK2005" i="2"/>
  <c r="AG2005" i="2"/>
  <c r="AH2005" i="2"/>
  <c r="AI2005" i="2"/>
  <c r="AJ2005" i="2"/>
  <c r="AF2006" i="2"/>
  <c r="AK2006" i="2" s="1"/>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s="1"/>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L2124" i="2" s="1"/>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s="1"/>
  <c r="AG2184" i="2"/>
  <c r="AL2184" i="2" s="1"/>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s="1"/>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s="1"/>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s="1"/>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L2456" i="2" s="1"/>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L2462" i="2" s="1"/>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s="1"/>
  <c r="AG2474" i="2"/>
  <c r="AH2474" i="2"/>
  <c r="AI2474" i="2"/>
  <c r="AJ2474" i="2"/>
  <c r="AF2475" i="2"/>
  <c r="AK2475" i="2" s="1"/>
  <c r="AG2475" i="2"/>
  <c r="AH2475" i="2"/>
  <c r="AI2475" i="2"/>
  <c r="AJ2475" i="2"/>
  <c r="AF2476" i="2"/>
  <c r="AK2476" i="2" s="1"/>
  <c r="AG2476" i="2"/>
  <c r="AH2476" i="2"/>
  <c r="AI2476" i="2"/>
  <c r="AL2476" i="2" s="1"/>
  <c r="AJ2476" i="2"/>
  <c r="AF2477" i="2"/>
  <c r="AK2477" i="2"/>
  <c r="AG2477" i="2"/>
  <c r="AH2477" i="2"/>
  <c r="AI2477" i="2"/>
  <c r="AJ2477" i="2"/>
  <c r="AF2478" i="2"/>
  <c r="AK2478" i="2"/>
  <c r="AG2478" i="2"/>
  <c r="AH2478" i="2"/>
  <c r="AI2478" i="2"/>
  <c r="AJ2478" i="2"/>
  <c r="AF2479" i="2"/>
  <c r="AK2479" i="2"/>
  <c r="AG2479" i="2"/>
  <c r="AH2479" i="2"/>
  <c r="AL2479" i="2" s="1"/>
  <c r="AI2479" i="2"/>
  <c r="AJ2479" i="2"/>
  <c r="AF2480" i="2"/>
  <c r="AK2480" i="2" s="1"/>
  <c r="AG2480" i="2"/>
  <c r="AH2480" i="2"/>
  <c r="AI2480" i="2"/>
  <c r="AJ2480" i="2"/>
  <c r="AF2481" i="2"/>
  <c r="AK2481" i="2" s="1"/>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L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s="1"/>
  <c r="AG2543" i="2"/>
  <c r="AH2543" i="2"/>
  <c r="AI2543" i="2"/>
  <c r="AJ2543" i="2"/>
  <c r="AF2544" i="2"/>
  <c r="AK2544" i="2" s="1"/>
  <c r="AG2544" i="2"/>
  <c r="AH2544" i="2"/>
  <c r="AI2544" i="2"/>
  <c r="AL2544" i="2" s="1"/>
  <c r="AJ2544" i="2"/>
  <c r="AF2545" i="2"/>
  <c r="AK2545" i="2"/>
  <c r="AG2545" i="2"/>
  <c r="AH2545" i="2"/>
  <c r="AL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L2557" i="2" s="1"/>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L2582" i="2" s="1"/>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L2610" i="2" s="1"/>
  <c r="AH2610" i="2"/>
  <c r="AI2610" i="2"/>
  <c r="AJ2610" i="2"/>
  <c r="AF2611" i="2"/>
  <c r="AK2611" i="2" s="1"/>
  <c r="AG2611" i="2"/>
  <c r="AH2611" i="2"/>
  <c r="AI2611" i="2"/>
  <c r="AJ2611" i="2"/>
  <c r="AF2612" i="2"/>
  <c r="AK2612" i="2"/>
  <c r="AG2612" i="2"/>
  <c r="AH2612" i="2"/>
  <c r="AL2612" i="2" s="1"/>
  <c r="AI2612" i="2"/>
  <c r="AJ2612" i="2"/>
  <c r="AF2613" i="2"/>
  <c r="AK2613" i="2" s="1"/>
  <c r="AG2613" i="2"/>
  <c r="AH2613" i="2"/>
  <c r="AI2613" i="2"/>
  <c r="AJ2613" i="2"/>
  <c r="AF2614" i="2"/>
  <c r="AK2614" i="2"/>
  <c r="AG2614" i="2"/>
  <c r="AH2614" i="2"/>
  <c r="AI2614" i="2"/>
  <c r="AL2614" i="2" s="1"/>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L2663" i="2" s="1"/>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s="1"/>
  <c r="AL2674" i="2" s="1"/>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L2708" i="2" s="1"/>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L2758" i="2" s="1"/>
  <c r="AG2758" i="2"/>
  <c r="AH2758" i="2"/>
  <c r="AI2758" i="2"/>
  <c r="AJ2758" i="2"/>
  <c r="AF2759" i="2"/>
  <c r="AK2759" i="2" s="1"/>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L2799" i="2" s="1"/>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L2808" i="2" s="1"/>
  <c r="AF2809" i="2"/>
  <c r="AK2809" i="2" s="1"/>
  <c r="AG2809" i="2"/>
  <c r="AH2809" i="2"/>
  <c r="AI2809" i="2"/>
  <c r="AJ2809" i="2"/>
  <c r="AF2810" i="2"/>
  <c r="AK2810" i="2"/>
  <c r="AG2810" i="2"/>
  <c r="AH2810" i="2"/>
  <c r="AI2810" i="2"/>
  <c r="AJ2810" i="2"/>
  <c r="AF2811" i="2"/>
  <c r="AK2811" i="2" s="1"/>
  <c r="AL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L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L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L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L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L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L2938" i="2" s="1"/>
  <c r="AG2938" i="2"/>
  <c r="AH2938" i="2"/>
  <c r="AI2938" i="2"/>
  <c r="AJ2938" i="2"/>
  <c r="AF2939" i="2"/>
  <c r="AK2939" i="2" s="1"/>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L2957" i="2" s="1"/>
  <c r="AF2958" i="2"/>
  <c r="AK2958" i="2" s="1"/>
  <c r="AG2958" i="2"/>
  <c r="AH2958" i="2"/>
  <c r="AI2958" i="2"/>
  <c r="AJ2958" i="2"/>
  <c r="AF2959" i="2"/>
  <c r="AK2959" i="2"/>
  <c r="AG2959" i="2"/>
  <c r="AH2959" i="2"/>
  <c r="AI2959" i="2"/>
  <c r="AJ2959" i="2"/>
  <c r="AF2960" i="2"/>
  <c r="AK2960" i="2" s="1"/>
  <c r="AL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s="1"/>
  <c r="AG2969" i="2"/>
  <c r="AH2969" i="2"/>
  <c r="AI2969" i="2"/>
  <c r="AJ2969" i="2"/>
  <c r="AF2970" i="2"/>
  <c r="AK2970" i="2"/>
  <c r="AG2970" i="2"/>
  <c r="AH2970" i="2"/>
  <c r="AI2970" i="2"/>
  <c r="AJ2970" i="2"/>
  <c r="AF2971" i="2"/>
  <c r="AK2971" i="2" s="1"/>
  <c r="AL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L2977" i="2" s="1"/>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L3001" i="2" s="1"/>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L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L3158" i="2" s="1"/>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L3254" i="2" s="1"/>
  <c r="AG3254" i="2"/>
  <c r="AH3254" i="2"/>
  <c r="AI3254" i="2"/>
  <c r="AJ3254" i="2"/>
  <c r="AF3255" i="2"/>
  <c r="AK3255" i="2"/>
  <c r="AG3255" i="2"/>
  <c r="AH3255" i="2"/>
  <c r="AL3255" i="2" s="1"/>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L3309" i="2" s="1"/>
  <c r="AF3310" i="2"/>
  <c r="AK3310" i="2" s="1"/>
  <c r="AG3310" i="2"/>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c r="AG3328" i="2"/>
  <c r="AH3328" i="2"/>
  <c r="AI3328" i="2"/>
  <c r="AJ3328" i="2"/>
  <c r="AF3329" i="2"/>
  <c r="AK3329" i="2"/>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L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L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L3414" i="2" s="1"/>
  <c r="AI3414" i="2"/>
  <c r="AJ3414" i="2"/>
  <c r="AF3415" i="2"/>
  <c r="AK3415" i="2"/>
  <c r="AG3415" i="2"/>
  <c r="AH3415" i="2"/>
  <c r="AL3415" i="2" s="1"/>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c r="AG3466" i="2"/>
  <c r="AH3466" i="2"/>
  <c r="AI3466" i="2"/>
  <c r="AJ3466" i="2"/>
  <c r="AF3467" i="2"/>
  <c r="AK3467" i="2"/>
  <c r="AL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L3486" i="2" s="1"/>
  <c r="AF3487" i="2"/>
  <c r="AK3487" i="2" s="1"/>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s="1"/>
  <c r="AG3491" i="2"/>
  <c r="AH3491" i="2"/>
  <c r="AI3491" i="2"/>
  <c r="AJ3491" i="2"/>
  <c r="AF3492" i="2"/>
  <c r="AK3492" i="2" s="1"/>
  <c r="AL3492" i="2"/>
  <c r="AG3492" i="2"/>
  <c r="AH3492" i="2"/>
  <c r="AI3492" i="2"/>
  <c r="AJ3492" i="2"/>
  <c r="AF3493" i="2"/>
  <c r="AK3493" i="2" s="1"/>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G3531" i="2"/>
  <c r="AL3531" i="2" s="1"/>
  <c r="AH3531" i="2"/>
  <c r="AI3531" i="2"/>
  <c r="AJ3531" i="2"/>
  <c r="AF3532" i="2"/>
  <c r="AK3532" i="2" s="1"/>
  <c r="AG3532" i="2"/>
  <c r="AH3532" i="2"/>
  <c r="AI3532" i="2"/>
  <c r="AL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s="1"/>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L3611" i="2" s="1"/>
  <c r="AI3611" i="2"/>
  <c r="AJ3611" i="2"/>
  <c r="AF3612" i="2"/>
  <c r="AK3612" i="2" s="1"/>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L3681" i="2" s="1"/>
  <c r="AG3681" i="2"/>
  <c r="AH3681" i="2"/>
  <c r="AI3681" i="2"/>
  <c r="AJ3681" i="2"/>
  <c r="AF3682" i="2"/>
  <c r="AK3682" i="2" s="1"/>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L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L3709" i="2" s="1"/>
  <c r="AF3710" i="2"/>
  <c r="AK3710" i="2" s="1"/>
  <c r="AG3710" i="2"/>
  <c r="AH3710" i="2"/>
  <c r="AI3710" i="2"/>
  <c r="AJ3710" i="2"/>
  <c r="AF3711" i="2"/>
  <c r="AK3711" i="2"/>
  <c r="AG3711" i="2"/>
  <c r="AH3711" i="2"/>
  <c r="AI3711" i="2"/>
  <c r="AJ3711" i="2"/>
  <c r="AF3712" i="2"/>
  <c r="AK3712" i="2"/>
  <c r="AG3712" i="2"/>
  <c r="AH3712" i="2"/>
  <c r="AI3712" i="2"/>
  <c r="AL3712" i="2" s="1"/>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L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L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L3775" i="2" s="1"/>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L3790" i="2" s="1"/>
  <c r="AI3790" i="2"/>
  <c r="AJ3790" i="2"/>
  <c r="AF3791" i="2"/>
  <c r="AK3791" i="2" s="1"/>
  <c r="AG3791" i="2"/>
  <c r="AH3791" i="2"/>
  <c r="AI3791" i="2"/>
  <c r="AJ3791" i="2"/>
  <c r="AF3792" i="2"/>
  <c r="AK3792" i="2" s="1"/>
  <c r="AG3792" i="2"/>
  <c r="AL3792" i="2" s="1"/>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L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L3884" i="2" s="1"/>
  <c r="AH3884" i="2"/>
  <c r="AI3884" i="2"/>
  <c r="AJ3884" i="2"/>
  <c r="AF3885" i="2"/>
  <c r="AK3885" i="2"/>
  <c r="AG3885" i="2"/>
  <c r="AH3885" i="2"/>
  <c r="AI3885" i="2"/>
  <c r="AL3885" i="2" s="1"/>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s="1"/>
  <c r="AF3926" i="2"/>
  <c r="AK3926" i="2"/>
  <c r="AG3926" i="2"/>
  <c r="AH3926" i="2"/>
  <c r="AI3926" i="2"/>
  <c r="AJ3926" i="2"/>
  <c r="AF3927" i="2"/>
  <c r="AK3927" i="2"/>
  <c r="AG3927" i="2"/>
  <c r="AL3927" i="2" s="1"/>
  <c r="AH3927" i="2"/>
  <c r="AI3927" i="2"/>
  <c r="AJ3927" i="2"/>
  <c r="AF3928" i="2"/>
  <c r="AK3928" i="2" s="1"/>
  <c r="AL3928" i="2" s="1"/>
  <c r="AG3928" i="2"/>
  <c r="AH3928" i="2"/>
  <c r="AI3928" i="2"/>
  <c r="AJ3928" i="2"/>
  <c r="AF3929" i="2"/>
  <c r="AK3929" i="2" s="1"/>
  <c r="AG3929" i="2"/>
  <c r="AL3929" i="2" s="1"/>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s="1"/>
  <c r="AG3949" i="2"/>
  <c r="AH3949" i="2"/>
  <c r="AI3949" i="2"/>
  <c r="AJ3949" i="2"/>
  <c r="AF3950" i="2"/>
  <c r="AK3950" i="2" s="1"/>
  <c r="AG3950" i="2"/>
  <c r="AH3950" i="2"/>
  <c r="AI3950" i="2"/>
  <c r="AJ3950" i="2"/>
  <c r="AL3950" i="2" s="1"/>
  <c r="AF3951" i="2"/>
  <c r="AK3951" i="2"/>
  <c r="AG3951" i="2"/>
  <c r="AH3951" i="2"/>
  <c r="AI3951" i="2"/>
  <c r="AJ3951" i="2"/>
  <c r="AF3952" i="2"/>
  <c r="AK3952" i="2"/>
  <c r="AG3952" i="2"/>
  <c r="AH3952" i="2"/>
  <c r="AI3952" i="2"/>
  <c r="AL3952" i="2" s="1"/>
  <c r="AJ3952" i="2"/>
  <c r="AF3953" i="2"/>
  <c r="AK3953" i="2"/>
  <c r="AG3953" i="2"/>
  <c r="AH3953" i="2"/>
  <c r="AI3953" i="2"/>
  <c r="AL3953" i="2" s="1"/>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L3995" i="2" s="1"/>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L3999" i="2" s="1"/>
  <c r="AF4000" i="2"/>
  <c r="AK4000" i="2"/>
  <c r="AG4000" i="2"/>
  <c r="AH4000" i="2"/>
  <c r="AI4000" i="2"/>
  <c r="AJ4000" i="2"/>
  <c r="AF4001" i="2"/>
  <c r="AK4001" i="2"/>
  <c r="AG4001" i="2"/>
  <c r="AH4001" i="2"/>
  <c r="AI4001" i="2"/>
  <c r="AJ4001" i="2"/>
  <c r="AL4001" i="2" s="1"/>
  <c r="AF4002" i="2"/>
  <c r="AK4002" i="2"/>
  <c r="AG4002" i="2"/>
  <c r="AH4002" i="2"/>
  <c r="AI4002" i="2"/>
  <c r="AJ4002" i="2"/>
  <c r="AF4003" i="2"/>
  <c r="AK4003" i="2"/>
  <c r="AG4003" i="2"/>
  <c r="AH4003" i="2"/>
  <c r="AI4003" i="2"/>
  <c r="AJ4003" i="2"/>
  <c r="AL4003" i="2" s="1"/>
  <c r="AF4004" i="2"/>
  <c r="AK4004" i="2"/>
  <c r="AG4004" i="2"/>
  <c r="AH4004" i="2"/>
  <c r="AI4004" i="2"/>
  <c r="AJ4004" i="2"/>
  <c r="AF4005" i="2"/>
  <c r="AK4005" i="2"/>
  <c r="AG4005" i="2"/>
  <c r="AH4005" i="2"/>
  <c r="AI4005" i="2"/>
  <c r="AJ4005" i="2"/>
  <c r="AL4005" i="2" s="1"/>
  <c r="AF4006" i="2"/>
  <c r="AK4006" i="2"/>
  <c r="AG4006" i="2"/>
  <c r="AH4006" i="2"/>
  <c r="AI4006" i="2"/>
  <c r="AJ4006" i="2"/>
  <c r="AF4007" i="2"/>
  <c r="AK4007" i="2"/>
  <c r="AG4007" i="2"/>
  <c r="AH4007" i="2"/>
  <c r="AI4007" i="2"/>
  <c r="AJ4007" i="2"/>
  <c r="AL4007" i="2" s="1"/>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L4011" i="2" s="1"/>
  <c r="AF4012" i="2"/>
  <c r="AK4012" i="2"/>
  <c r="AG4012" i="2"/>
  <c r="AH4012" i="2"/>
  <c r="AI4012" i="2"/>
  <c r="AJ4012" i="2"/>
  <c r="AF4013" i="2"/>
  <c r="AK4013" i="2"/>
  <c r="AG4013" i="2"/>
  <c r="AH4013" i="2"/>
  <c r="AI4013" i="2"/>
  <c r="AJ4013" i="2"/>
  <c r="AL4013" i="2" s="1"/>
  <c r="AF4014" i="2"/>
  <c r="AK4014" i="2"/>
  <c r="AG4014" i="2"/>
  <c r="AH4014" i="2"/>
  <c r="AI4014" i="2"/>
  <c r="AJ4014" i="2"/>
  <c r="AF4015" i="2"/>
  <c r="AK4015" i="2"/>
  <c r="AG4015" i="2"/>
  <c r="AH4015" i="2"/>
  <c r="AI4015" i="2"/>
  <c r="AJ4015" i="2"/>
  <c r="AL4015" i="2" s="1"/>
  <c r="AF4016" i="2"/>
  <c r="AK4016" i="2"/>
  <c r="AG4016" i="2"/>
  <c r="AH4016" i="2"/>
  <c r="AI4016" i="2"/>
  <c r="AJ4016" i="2"/>
  <c r="AF4017" i="2"/>
  <c r="AK4017" i="2"/>
  <c r="AG4017" i="2"/>
  <c r="AH4017" i="2"/>
  <c r="AI4017" i="2"/>
  <c r="AJ4017" i="2"/>
  <c r="AL4017" i="2" s="1"/>
  <c r="AF4018" i="2"/>
  <c r="AK4018" i="2"/>
  <c r="AG4018" i="2"/>
  <c r="AH4018" i="2"/>
  <c r="AI4018" i="2"/>
  <c r="AJ4018" i="2"/>
  <c r="AF4019" i="2"/>
  <c r="AK4019" i="2"/>
  <c r="AG4019" i="2"/>
  <c r="AH4019" i="2"/>
  <c r="AI4019" i="2"/>
  <c r="AJ4019" i="2"/>
  <c r="AL4019" i="2" s="1"/>
  <c r="AF4020" i="2"/>
  <c r="AK4020" i="2"/>
  <c r="AG4020" i="2"/>
  <c r="AH4020" i="2"/>
  <c r="AI4020" i="2"/>
  <c r="AJ4020" i="2"/>
  <c r="AF4021" i="2"/>
  <c r="AK4021" i="2"/>
  <c r="AG4021" i="2"/>
  <c r="AH4021" i="2"/>
  <c r="AI4021" i="2"/>
  <c r="AJ4021" i="2"/>
  <c r="AL4021" i="2" s="1"/>
  <c r="AF4022" i="2"/>
  <c r="AK4022" i="2"/>
  <c r="AG4022" i="2"/>
  <c r="AH4022" i="2"/>
  <c r="AI4022" i="2"/>
  <c r="AJ4022" i="2"/>
  <c r="AF4023" i="2"/>
  <c r="AK4023" i="2"/>
  <c r="AG4023" i="2"/>
  <c r="AH4023" i="2"/>
  <c r="AI4023" i="2"/>
  <c r="AJ4023" i="2"/>
  <c r="AL4023" i="2" s="1"/>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L4027" i="2" s="1"/>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L4031" i="2" s="1"/>
  <c r="AF4032" i="2"/>
  <c r="AK4032" i="2"/>
  <c r="AG4032" i="2"/>
  <c r="AH4032" i="2"/>
  <c r="AI4032" i="2"/>
  <c r="AJ4032" i="2"/>
  <c r="AF4033" i="2"/>
  <c r="AK4033" i="2"/>
  <c r="AG4033" i="2"/>
  <c r="AH4033" i="2"/>
  <c r="AI4033" i="2"/>
  <c r="AJ4033" i="2"/>
  <c r="AL4033" i="2" s="1"/>
  <c r="AF4034" i="2"/>
  <c r="AK4034" i="2"/>
  <c r="AG4034" i="2"/>
  <c r="AH4034" i="2"/>
  <c r="AI4034" i="2"/>
  <c r="AJ4034" i="2"/>
  <c r="AF4035" i="2"/>
  <c r="AK4035" i="2"/>
  <c r="AG4035" i="2"/>
  <c r="AH4035" i="2"/>
  <c r="AI4035" i="2"/>
  <c r="AJ4035" i="2"/>
  <c r="AL4035" i="2" s="1"/>
  <c r="AF4036" i="2"/>
  <c r="AK4036" i="2"/>
  <c r="AG4036" i="2"/>
  <c r="AH4036" i="2"/>
  <c r="AI4036" i="2"/>
  <c r="AJ4036" i="2"/>
  <c r="AF4037" i="2"/>
  <c r="AK4037" i="2"/>
  <c r="AG4037" i="2"/>
  <c r="AH4037" i="2"/>
  <c r="AI4037" i="2"/>
  <c r="AJ4037" i="2"/>
  <c r="AL4037" i="2" s="1"/>
  <c r="AF4038" i="2"/>
  <c r="AK4038" i="2"/>
  <c r="AG4038" i="2"/>
  <c r="AH4038" i="2"/>
  <c r="AI4038" i="2"/>
  <c r="AJ4038" i="2"/>
  <c r="AF4039" i="2"/>
  <c r="AK4039" i="2"/>
  <c r="AG4039" i="2"/>
  <c r="AH4039" i="2"/>
  <c r="AI4039" i="2"/>
  <c r="AJ4039" i="2"/>
  <c r="AL4039" i="2" s="1"/>
  <c r="AF4040" i="2"/>
  <c r="AK4040" i="2"/>
  <c r="AG4040" i="2"/>
  <c r="AH4040" i="2"/>
  <c r="AI4040" i="2"/>
  <c r="AJ4040" i="2"/>
  <c r="AF4041" i="2"/>
  <c r="AK4041" i="2"/>
  <c r="AG4041" i="2"/>
  <c r="AH4041" i="2"/>
  <c r="AI4041" i="2"/>
  <c r="AJ4041" i="2"/>
  <c r="AL4041" i="2" s="1"/>
  <c r="AF4042" i="2"/>
  <c r="AK4042" i="2"/>
  <c r="AG4042" i="2"/>
  <c r="AH4042" i="2"/>
  <c r="AI4042" i="2"/>
  <c r="AJ4042" i="2"/>
  <c r="AF4043" i="2"/>
  <c r="AK4043" i="2"/>
  <c r="AG4043" i="2"/>
  <c r="AH4043" i="2"/>
  <c r="AI4043" i="2"/>
  <c r="AL4043" i="2" s="1"/>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c r="AL4053" i="2" s="1"/>
  <c r="AG4053" i="2"/>
  <c r="AH4053" i="2"/>
  <c r="AI4053" i="2"/>
  <c r="AJ4053" i="2"/>
  <c r="AF4054" i="2"/>
  <c r="AK4054" i="2"/>
  <c r="AG4054" i="2"/>
  <c r="AH4054" i="2"/>
  <c r="AI4054" i="2"/>
  <c r="AJ4054" i="2"/>
  <c r="AF4055" i="2"/>
  <c r="AK4055" i="2"/>
  <c r="AL4055" i="2" s="1"/>
  <c r="AG4055" i="2"/>
  <c r="AH4055" i="2"/>
  <c r="AI4055" i="2"/>
  <c r="AJ4055" i="2"/>
  <c r="AF4056" i="2"/>
  <c r="AK4056" i="2"/>
  <c r="AG4056" i="2"/>
  <c r="AH4056" i="2"/>
  <c r="AI4056" i="2"/>
  <c r="AJ4056" i="2"/>
  <c r="AF4057" i="2"/>
  <c r="AK4057" i="2"/>
  <c r="AL4057" i="2" s="1"/>
  <c r="AG4057" i="2"/>
  <c r="AH4057" i="2"/>
  <c r="AI4057" i="2"/>
  <c r="AJ4057" i="2"/>
  <c r="AF4058" i="2"/>
  <c r="AK4058" i="2"/>
  <c r="AG4058" i="2"/>
  <c r="AH4058" i="2"/>
  <c r="AI4058" i="2"/>
  <c r="AJ4058" i="2"/>
  <c r="AF4059" i="2"/>
  <c r="AK4059" i="2"/>
  <c r="AL4059" i="2" s="1"/>
  <c r="AG4059" i="2"/>
  <c r="AH4059" i="2"/>
  <c r="AI4059" i="2"/>
  <c r="AJ4059" i="2"/>
  <c r="AF4060" i="2"/>
  <c r="AK4060" i="2"/>
  <c r="AG4060" i="2"/>
  <c r="AH4060" i="2"/>
  <c r="AI4060" i="2"/>
  <c r="AJ4060" i="2"/>
  <c r="AF4061" i="2"/>
  <c r="AK4061" i="2"/>
  <c r="AL4061" i="2" s="1"/>
  <c r="AG4061" i="2"/>
  <c r="AH4061" i="2"/>
  <c r="AI4061" i="2"/>
  <c r="AJ4061" i="2"/>
  <c r="AF4062" i="2"/>
  <c r="AK4062" i="2"/>
  <c r="AG4062" i="2"/>
  <c r="AH4062" i="2"/>
  <c r="AI4062" i="2"/>
  <c r="AJ4062" i="2"/>
  <c r="AF4063" i="2"/>
  <c r="AK4063" i="2"/>
  <c r="AL4063" i="2" s="1"/>
  <c r="AG4063" i="2"/>
  <c r="AH4063" i="2"/>
  <c r="AI4063" i="2"/>
  <c r="AJ4063" i="2"/>
  <c r="AF4064" i="2"/>
  <c r="AK4064" i="2"/>
  <c r="AG4064" i="2"/>
  <c r="AH4064" i="2"/>
  <c r="AI4064" i="2"/>
  <c r="AJ4064" i="2"/>
  <c r="AF4065" i="2"/>
  <c r="AK4065" i="2"/>
  <c r="AL4065" i="2" s="1"/>
  <c r="AG4065" i="2"/>
  <c r="AH4065" i="2"/>
  <c r="AI4065" i="2"/>
  <c r="AJ4065" i="2"/>
  <c r="AF4066" i="2"/>
  <c r="AK4066" i="2"/>
  <c r="AG4066" i="2"/>
  <c r="AH4066" i="2"/>
  <c r="AI4066" i="2"/>
  <c r="AJ4066" i="2"/>
  <c r="AF4067" i="2"/>
  <c r="AK4067" i="2"/>
  <c r="AL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L4071" i="2" s="1"/>
  <c r="AG4071" i="2"/>
  <c r="AH4071" i="2"/>
  <c r="AI4071" i="2"/>
  <c r="AJ4071" i="2"/>
  <c r="AF4072" i="2"/>
  <c r="AK4072" i="2"/>
  <c r="AG4072" i="2"/>
  <c r="AL4072" i="2" s="1"/>
  <c r="AH4072" i="2"/>
  <c r="AI4072" i="2"/>
  <c r="AJ4072" i="2"/>
  <c r="AF4073" i="2"/>
  <c r="AK4073" i="2"/>
  <c r="AL4073" i="2" s="1"/>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L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s="1"/>
  <c r="AG4192" i="2"/>
  <c r="AH4192" i="2"/>
  <c r="AI4192" i="2"/>
  <c r="AL4192" i="2" s="1"/>
  <c r="AJ4192" i="2"/>
  <c r="AF4193" i="2"/>
  <c r="AK4193" i="2" s="1"/>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L4208" i="2" s="1"/>
  <c r="AG4208" i="2"/>
  <c r="AH4208" i="2"/>
  <c r="AI4208" i="2"/>
  <c r="AJ4208" i="2"/>
  <c r="AF4209" i="2"/>
  <c r="AK4209" i="2" s="1"/>
  <c r="AG4209" i="2"/>
  <c r="AH4209" i="2"/>
  <c r="AI4209" i="2"/>
  <c r="AL4209" i="2" s="1"/>
  <c r="AJ4209" i="2"/>
  <c r="AF4210" i="2"/>
  <c r="AK4210" i="2" s="1"/>
  <c r="AG4210" i="2"/>
  <c r="AH4210" i="2"/>
  <c r="AI4210" i="2"/>
  <c r="AJ4210" i="2"/>
  <c r="AF4211" i="2"/>
  <c r="AK4211" i="2" s="1"/>
  <c r="AG4211" i="2"/>
  <c r="AH4211" i="2"/>
  <c r="AI4211" i="2"/>
  <c r="AJ4211" i="2"/>
  <c r="AF4212" i="2"/>
  <c r="AK4212" i="2" s="1"/>
  <c r="AL4212" i="2" s="1"/>
  <c r="AG4212" i="2"/>
  <c r="AH4212" i="2"/>
  <c r="AI4212" i="2"/>
  <c r="AJ4212" i="2"/>
  <c r="AF4213" i="2"/>
  <c r="AK4213" i="2"/>
  <c r="AG4213" i="2"/>
  <c r="AH4213" i="2"/>
  <c r="AI4213" i="2"/>
  <c r="AJ4213" i="2"/>
  <c r="AF4214" i="2"/>
  <c r="AK4214" i="2" s="1"/>
  <c r="AG4214" i="2"/>
  <c r="AL4214" i="2" s="1"/>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L4219" i="2" s="1"/>
  <c r="AG4219" i="2"/>
  <c r="AH4219" i="2"/>
  <c r="AI4219" i="2"/>
  <c r="AJ4219" i="2"/>
  <c r="AF4220" i="2"/>
  <c r="AK4220" i="2" s="1"/>
  <c r="AG4220" i="2"/>
  <c r="AH4220" i="2"/>
  <c r="AI4220" i="2"/>
  <c r="AJ4220" i="2"/>
  <c r="AF4221" i="2"/>
  <c r="AK4221" i="2" s="1"/>
  <c r="AG4221" i="2"/>
  <c r="AH4221" i="2"/>
  <c r="AL4221" i="2" s="1"/>
  <c r="AI4221" i="2"/>
  <c r="AJ4221" i="2"/>
  <c r="AF4222" i="2"/>
  <c r="AK4222" i="2" s="1"/>
  <c r="AG4222" i="2"/>
  <c r="AH4222" i="2"/>
  <c r="AI4222" i="2"/>
  <c r="AJ4222" i="2"/>
  <c r="AF4223" i="2"/>
  <c r="AK4223" i="2"/>
  <c r="AG4223" i="2"/>
  <c r="AH4223" i="2"/>
  <c r="AI4223" i="2"/>
  <c r="AL4223" i="2" s="1"/>
  <c r="AJ4223" i="2"/>
  <c r="AF4224" i="2"/>
  <c r="AK4224" i="2"/>
  <c r="AG4224" i="2"/>
  <c r="AH4224" i="2"/>
  <c r="AI4224" i="2"/>
  <c r="AJ4224" i="2"/>
  <c r="AF4225" i="2"/>
  <c r="AK4225" i="2"/>
  <c r="AG4225" i="2"/>
  <c r="AH4225" i="2"/>
  <c r="AI4225" i="2"/>
  <c r="AL4225" i="2" s="1"/>
  <c r="AJ4225" i="2"/>
  <c r="AF4226" i="2"/>
  <c r="AK4226" i="2"/>
  <c r="AG4226" i="2"/>
  <c r="AH4226" i="2"/>
  <c r="AI4226" i="2"/>
  <c r="AJ4226" i="2"/>
  <c r="AF4227" i="2"/>
  <c r="AK4227" i="2"/>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L4255" i="2" s="1"/>
  <c r="AJ4255" i="2"/>
  <c r="AF4256" i="2"/>
  <c r="AK4256" i="2"/>
  <c r="AG4256" i="2"/>
  <c r="AH4256" i="2"/>
  <c r="AI4256" i="2"/>
  <c r="AJ4256" i="2"/>
  <c r="AF4257" i="2"/>
  <c r="AK4257" i="2" s="1"/>
  <c r="AG4257" i="2"/>
  <c r="AL4257" i="2" s="1"/>
  <c r="AH4257" i="2"/>
  <c r="AI4257" i="2"/>
  <c r="AJ4257" i="2"/>
  <c r="AF4258" i="2"/>
  <c r="AK4258" i="2"/>
  <c r="AG4258" i="2"/>
  <c r="AH4258" i="2"/>
  <c r="AI4258" i="2"/>
  <c r="AJ4258" i="2"/>
  <c r="AF4259" i="2"/>
  <c r="AK4259" i="2" s="1"/>
  <c r="AG4259" i="2"/>
  <c r="AH4259" i="2"/>
  <c r="AL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c r="AG4271" i="2"/>
  <c r="AH4271" i="2"/>
  <c r="AI4271" i="2"/>
  <c r="AL4271" i="2" s="1"/>
  <c r="AJ4271" i="2"/>
  <c r="AF4272" i="2"/>
  <c r="AK4272" i="2" s="1"/>
  <c r="AG4272" i="2"/>
  <c r="AH4272" i="2"/>
  <c r="AI4272" i="2"/>
  <c r="AJ4272" i="2"/>
  <c r="AF4273" i="2"/>
  <c r="AK4273" i="2"/>
  <c r="AG4273" i="2"/>
  <c r="AH4273" i="2"/>
  <c r="AI4273" i="2"/>
  <c r="AL4273" i="2" s="1"/>
  <c r="AJ4273" i="2"/>
  <c r="AF4274" i="2"/>
  <c r="AK4274" i="2" s="1"/>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K4286" i="2" s="1"/>
  <c r="AG4286" i="2"/>
  <c r="AH4286" i="2"/>
  <c r="AL4286" i="2" s="1"/>
  <c r="AI4286" i="2"/>
  <c r="AJ4286" i="2"/>
  <c r="AF4287" i="2"/>
  <c r="AK4287" i="2"/>
  <c r="AG4287" i="2"/>
  <c r="AH4287" i="2"/>
  <c r="AI4287" i="2"/>
  <c r="AJ4287" i="2"/>
  <c r="AF4288" i="2"/>
  <c r="AK4288" i="2"/>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L4296" i="2"/>
  <c r="AG4296" i="2"/>
  <c r="AH4296" i="2"/>
  <c r="AI4296" i="2"/>
  <c r="AJ4296" i="2"/>
  <c r="AF4297" i="2"/>
  <c r="AK4297" i="2" s="1"/>
  <c r="AL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L4304" i="2" s="1"/>
  <c r="AJ4304" i="2"/>
  <c r="AF4305" i="2"/>
  <c r="AK4305" i="2" s="1"/>
  <c r="AL4305" i="2" s="1"/>
  <c r="AG4305" i="2"/>
  <c r="AH4305" i="2"/>
  <c r="AI4305" i="2"/>
  <c r="AJ4305" i="2"/>
  <c r="AF4306" i="2"/>
  <c r="AK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L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L4330" i="2" s="1"/>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c r="AG4343" i="2"/>
  <c r="AH4343" i="2"/>
  <c r="AI4343" i="2"/>
  <c r="AJ4343" i="2"/>
  <c r="AL4343" i="2" s="1"/>
  <c r="AF4344" i="2"/>
  <c r="AK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L4352" i="2" s="1"/>
  <c r="AJ4352" i="2"/>
  <c r="AF4353" i="2"/>
  <c r="AK4353" i="2"/>
  <c r="AG4353" i="2"/>
  <c r="AH4353" i="2"/>
  <c r="AI4353" i="2"/>
  <c r="AJ4353" i="2"/>
  <c r="AF4354" i="2"/>
  <c r="AK4354" i="2" s="1"/>
  <c r="AG4354" i="2"/>
  <c r="AH4354" i="2"/>
  <c r="AI4354" i="2"/>
  <c r="AJ4354" i="2"/>
  <c r="AF4355" i="2"/>
  <c r="AK4355" i="2" s="1"/>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s="1"/>
  <c r="AG4361" i="2"/>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L4369" i="2" s="1"/>
  <c r="AF4370" i="2"/>
  <c r="AK4370" i="2"/>
  <c r="AG4370" i="2"/>
  <c r="AH4370" i="2"/>
  <c r="AI4370" i="2"/>
  <c r="AJ4370" i="2"/>
  <c r="AF4371" i="2"/>
  <c r="AK4371" i="2" s="1"/>
  <c r="AG4371" i="2"/>
  <c r="AH4371" i="2"/>
  <c r="AI4371" i="2"/>
  <c r="AL4371" i="2" s="1"/>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c r="AG4377" i="2"/>
  <c r="AH4377" i="2"/>
  <c r="AI4377" i="2"/>
  <c r="AJ4377" i="2"/>
  <c r="AF4378" i="2"/>
  <c r="AK4378" i="2" s="1"/>
  <c r="AL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L4389" i="2" s="1"/>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s="1"/>
  <c r="AG4397" i="2"/>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L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L4405" i="2" s="1"/>
  <c r="AI4405" i="2"/>
  <c r="AJ4405" i="2"/>
  <c r="AF4406" i="2"/>
  <c r="AG4406" i="2"/>
  <c r="AH4406" i="2"/>
  <c r="AI4406" i="2"/>
  <c r="AJ4406" i="2"/>
  <c r="AK4406" i="2"/>
  <c r="AF4407" i="2"/>
  <c r="AK4407" i="2"/>
  <c r="AG4407" i="2"/>
  <c r="AH4407" i="2"/>
  <c r="AI4407" i="2"/>
  <c r="AJ4407" i="2"/>
  <c r="AF4408" i="2"/>
  <c r="AK4408" i="2"/>
  <c r="AL4408" i="2"/>
  <c r="AG4408" i="2"/>
  <c r="AH4408" i="2"/>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G4418" i="2"/>
  <c r="AH4418" i="2"/>
  <c r="AI4418" i="2"/>
  <c r="AJ4418" i="2"/>
  <c r="AL4418" i="2" s="1"/>
  <c r="AF4419" i="2"/>
  <c r="AK4419" i="2" s="1"/>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c r="AH4422" i="2"/>
  <c r="AI4422" i="2"/>
  <c r="AJ4422" i="2"/>
  <c r="AF4423" i="2"/>
  <c r="AK4423" i="2"/>
  <c r="AG4423" i="2"/>
  <c r="AH4423" i="2"/>
  <c r="AI4423" i="2"/>
  <c r="AJ4423" i="2"/>
  <c r="AF4424" i="2"/>
  <c r="AK4424" i="2"/>
  <c r="AG4424" i="2"/>
  <c r="AH4424" i="2"/>
  <c r="AI4424" i="2"/>
  <c r="AJ4424" i="2"/>
  <c r="AF4425" i="2"/>
  <c r="AK4425" i="2" s="1"/>
  <c r="AL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L4429" i="2" s="1"/>
  <c r="AF4430" i="2"/>
  <c r="AK4430" i="2" s="1"/>
  <c r="AG4430" i="2"/>
  <c r="AH4430" i="2"/>
  <c r="AI4430" i="2"/>
  <c r="AL4430" i="2" s="1"/>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L4449" i="2" s="1"/>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c r="AG4458" i="2"/>
  <c r="AH4458" i="2"/>
  <c r="AI4458" i="2"/>
  <c r="AL4458" i="2" s="1"/>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s="1"/>
  <c r="AG4463" i="2"/>
  <c r="AL4463" i="2" s="1"/>
  <c r="AH4463" i="2"/>
  <c r="AI4463" i="2"/>
  <c r="AJ4463" i="2"/>
  <c r="AF4464" i="2"/>
  <c r="AK4464" i="2"/>
  <c r="AG4464" i="2"/>
  <c r="AL4464" i="2"/>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s="1"/>
  <c r="AG4472" i="2"/>
  <c r="AH4472" i="2"/>
  <c r="AL4472" i="2"/>
  <c r="AI4472" i="2"/>
  <c r="AJ4472" i="2"/>
  <c r="AF4473" i="2"/>
  <c r="AK4473" i="2"/>
  <c r="AL4473" i="2"/>
  <c r="AG4473" i="2"/>
  <c r="AH4473" i="2"/>
  <c r="AI4473" i="2"/>
  <c r="AJ4473" i="2"/>
  <c r="AF4474" i="2"/>
  <c r="AK4474" i="2"/>
  <c r="AG4474" i="2"/>
  <c r="AL4474" i="2" s="1"/>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I4484" i="2"/>
  <c r="AJ4484" i="2"/>
  <c r="AF4485" i="2"/>
  <c r="AK4485" i="2"/>
  <c r="AG4485" i="2"/>
  <c r="AH4485" i="2"/>
  <c r="AI4485" i="2"/>
  <c r="AJ4485" i="2"/>
  <c r="AF4486" i="2"/>
  <c r="AK4486" i="2" s="1"/>
  <c r="AL4486" i="2" s="1"/>
  <c r="AG4486" i="2"/>
  <c r="AH4486" i="2"/>
  <c r="AI4486" i="2"/>
  <c r="AJ4486" i="2"/>
  <c r="AF4487" i="2"/>
  <c r="AK4487" i="2"/>
  <c r="AG4487" i="2"/>
  <c r="AH4487" i="2"/>
  <c r="AI4487" i="2"/>
  <c r="AJ4487" i="2"/>
  <c r="AF4488" i="2"/>
  <c r="AK4488" i="2" s="1"/>
  <c r="AL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s="1"/>
  <c r="AH4497" i="2"/>
  <c r="AI4497" i="2"/>
  <c r="AJ4497" i="2"/>
  <c r="AF4498" i="2"/>
  <c r="AK4498" i="2" s="1"/>
  <c r="AL4498" i="2" s="1"/>
  <c r="AG4498" i="2"/>
  <c r="AH4498" i="2"/>
  <c r="AI4498" i="2"/>
  <c r="AJ4498" i="2"/>
  <c r="AF4499" i="2"/>
  <c r="AK4499" i="2"/>
  <c r="AL4499" i="2" s="1"/>
  <c r="AG4499" i="2"/>
  <c r="AH4499" i="2"/>
  <c r="AI4499" i="2"/>
  <c r="AJ4499" i="2"/>
  <c r="AF4500" i="2"/>
  <c r="AK4500" i="2" s="1"/>
  <c r="AG4500" i="2"/>
  <c r="AH4500" i="2"/>
  <c r="AI4500" i="2"/>
  <c r="AJ4500" i="2"/>
  <c r="AL4500" i="2" s="1"/>
  <c r="AF4501" i="2"/>
  <c r="AK4501" i="2"/>
  <c r="AG4501" i="2"/>
  <c r="AH4501" i="2"/>
  <c r="AI4501" i="2"/>
  <c r="AJ4501" i="2"/>
  <c r="AF4502" i="2"/>
  <c r="AK4502" i="2" s="1"/>
  <c r="AG4502" i="2"/>
  <c r="AH4502" i="2"/>
  <c r="AI4502" i="2"/>
  <c r="AJ4502" i="2"/>
  <c r="AF4503" i="2"/>
  <c r="AK4503" i="2" s="1"/>
  <c r="AL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L4510" i="2" s="1"/>
  <c r="AH4510" i="2"/>
  <c r="AI4510" i="2"/>
  <c r="AJ4510" i="2"/>
  <c r="AF4511" i="2"/>
  <c r="AK4511" i="2" s="1"/>
  <c r="AG4511" i="2"/>
  <c r="AH4511" i="2"/>
  <c r="AI4511" i="2"/>
  <c r="AJ4511" i="2"/>
  <c r="AF4512" i="2"/>
  <c r="AK4512" i="2"/>
  <c r="AG4512" i="2"/>
  <c r="AH4512" i="2"/>
  <c r="AI4512" i="2"/>
  <c r="AJ4512" i="2"/>
  <c r="AF4513" i="2"/>
  <c r="AK4513" i="2" s="1"/>
  <c r="AG4513" i="2"/>
  <c r="AH4513" i="2"/>
  <c r="AI4513" i="2"/>
  <c r="AJ4513" i="2"/>
  <c r="AF4514" i="2"/>
  <c r="AK4514" i="2" s="1"/>
  <c r="AG4514" i="2"/>
  <c r="AH4514" i="2"/>
  <c r="AL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L4523" i="2" s="1"/>
  <c r="AH4523" i="2"/>
  <c r="AI4523" i="2"/>
  <c r="AJ4523" i="2"/>
  <c r="AF4524" i="2"/>
  <c r="AK4524" i="2"/>
  <c r="AG4524" i="2"/>
  <c r="AH4524" i="2"/>
  <c r="AI4524" i="2"/>
  <c r="AJ4524" i="2"/>
  <c r="AL4524" i="2" s="1"/>
  <c r="AF4525" i="2"/>
  <c r="AK4525" i="2" s="1"/>
  <c r="AL4525" i="2" s="1"/>
  <c r="AG4525" i="2"/>
  <c r="AH4525" i="2"/>
  <c r="AI4525" i="2"/>
  <c r="AJ4525" i="2"/>
  <c r="AF4526" i="2"/>
  <c r="AK4526" i="2" s="1"/>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L4529" i="2" s="1"/>
  <c r="AJ4529" i="2"/>
  <c r="AF4530" i="2"/>
  <c r="AK4530" i="2" s="1"/>
  <c r="AG4530" i="2"/>
  <c r="AH4530" i="2"/>
  <c r="AI4530" i="2"/>
  <c r="AL4530" i="2" s="1"/>
  <c r="AJ4530" i="2"/>
  <c r="AF4531" i="2"/>
  <c r="AK4531" i="2" s="1"/>
  <c r="AG4531" i="2"/>
  <c r="AH4531" i="2"/>
  <c r="AI4531" i="2"/>
  <c r="AJ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L4535" i="2" s="1"/>
  <c r="AG4535" i="2"/>
  <c r="AH4535" i="2"/>
  <c r="AI4535" i="2"/>
  <c r="AJ4535" i="2"/>
  <c r="AF4536" i="2"/>
  <c r="AK4536" i="2"/>
  <c r="AG4536" i="2"/>
  <c r="AH4536" i="2"/>
  <c r="AI4536" i="2"/>
  <c r="AJ4536" i="2"/>
  <c r="AL4536" i="2" s="1"/>
  <c r="AF4537" i="2"/>
  <c r="AK4537" i="2" s="1"/>
  <c r="AG4537" i="2"/>
  <c r="AH4537" i="2"/>
  <c r="AI4537" i="2"/>
  <c r="AJ4537" i="2"/>
  <c r="AF4538" i="2"/>
  <c r="AK4538" i="2" s="1"/>
  <c r="AG4538" i="2"/>
  <c r="AH4538" i="2"/>
  <c r="AL4538" i="2" s="1"/>
  <c r="AI4538" i="2"/>
  <c r="AJ4538" i="2"/>
  <c r="AF4539" i="2"/>
  <c r="AK4539" i="2"/>
  <c r="AG4539" i="2"/>
  <c r="AL4539" i="2"/>
  <c r="AH4539" i="2"/>
  <c r="AI4539" i="2"/>
  <c r="AJ4539" i="2"/>
  <c r="AF4540" i="2"/>
  <c r="AK4540" i="2"/>
  <c r="AG4540" i="2"/>
  <c r="AL4540" i="2" s="1"/>
  <c r="AH4540" i="2"/>
  <c r="AI4540" i="2"/>
  <c r="AJ4540" i="2"/>
  <c r="AF4541" i="2"/>
  <c r="AK4541" i="2"/>
  <c r="AL4541" i="2" s="1"/>
  <c r="AG4541" i="2"/>
  <c r="AH4541" i="2"/>
  <c r="AI4541" i="2"/>
  <c r="AJ4541" i="2"/>
  <c r="AF4542" i="2"/>
  <c r="AK4542" i="2"/>
  <c r="AL4542" i="2" s="1"/>
  <c r="AG4542" i="2"/>
  <c r="AH4542" i="2"/>
  <c r="AI4542" i="2"/>
  <c r="AJ4542" i="2"/>
  <c r="AF4543" i="2"/>
  <c r="AK4543" i="2" s="1"/>
  <c r="AL4543" i="2" s="1"/>
  <c r="AG4543" i="2"/>
  <c r="AH4543" i="2"/>
  <c r="AI4543" i="2"/>
  <c r="AJ4543" i="2"/>
  <c r="AF4544" i="2"/>
  <c r="AK4544" i="2" s="1"/>
  <c r="AG4544" i="2"/>
  <c r="AH4544" i="2"/>
  <c r="AI4544" i="2"/>
  <c r="AJ4544" i="2"/>
  <c r="AF4545" i="2"/>
  <c r="AK4545" i="2" s="1"/>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L4551" i="2" s="1"/>
  <c r="AI4551" i="2"/>
  <c r="AJ4551" i="2"/>
  <c r="AF4552" i="2"/>
  <c r="AK4552" i="2"/>
  <c r="AG4552" i="2"/>
  <c r="AH4552" i="2"/>
  <c r="AI4552" i="2"/>
  <c r="AJ4552" i="2"/>
  <c r="AF4553" i="2"/>
  <c r="AK4553" i="2" s="1"/>
  <c r="AG4553" i="2"/>
  <c r="AH4553" i="2"/>
  <c r="AI4553" i="2"/>
  <c r="AL4553" i="2" s="1"/>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L4557" i="2"/>
  <c r="AI4557" i="2"/>
  <c r="AJ4557" i="2"/>
  <c r="AF4558" i="2"/>
  <c r="AK4558" i="2"/>
  <c r="AG4558" i="2"/>
  <c r="AH4558" i="2"/>
  <c r="AI4558" i="2"/>
  <c r="AJ4558" i="2"/>
  <c r="AF4559" i="2"/>
  <c r="AK4559" i="2"/>
  <c r="AG4559" i="2"/>
  <c r="AL4559" i="2" s="1"/>
  <c r="AH4559" i="2"/>
  <c r="AI4559" i="2"/>
  <c r="AJ4559" i="2"/>
  <c r="AF4560" i="2"/>
  <c r="AK4560" i="2"/>
  <c r="AG4560" i="2"/>
  <c r="AL4560" i="2" s="1"/>
  <c r="AH4560" i="2"/>
  <c r="AI4560" i="2"/>
  <c r="AJ4560" i="2"/>
  <c r="AF4561" i="2"/>
  <c r="AK4561" i="2"/>
  <c r="AG4561" i="2"/>
  <c r="AH4561" i="2"/>
  <c r="AI4561" i="2"/>
  <c r="AJ4561" i="2"/>
  <c r="AF4562" i="2"/>
  <c r="AK4562" i="2" s="1"/>
  <c r="AG4562" i="2"/>
  <c r="AH4562" i="2"/>
  <c r="AI4562" i="2"/>
  <c r="AJ4562" i="2"/>
  <c r="AF4563" i="2"/>
  <c r="AK4563" i="2" s="1"/>
  <c r="AG4563" i="2"/>
  <c r="AH4563" i="2"/>
  <c r="AI4563" i="2"/>
  <c r="AL4563" i="2" s="1"/>
  <c r="AJ4563" i="2"/>
  <c r="AF4564" i="2"/>
  <c r="AK4564" i="2" s="1"/>
  <c r="AG4564" i="2"/>
  <c r="AH4564" i="2"/>
  <c r="AI4564" i="2"/>
  <c r="AJ4564" i="2"/>
  <c r="AF4565" i="2"/>
  <c r="AK4565" i="2"/>
  <c r="AG4565" i="2"/>
  <c r="AH4565" i="2"/>
  <c r="AI4565" i="2"/>
  <c r="AJ4565" i="2"/>
  <c r="AL4565" i="2" s="1"/>
  <c r="AF4566" i="2"/>
  <c r="AK4566" i="2" s="1"/>
  <c r="AG4566" i="2"/>
  <c r="AH4566" i="2"/>
  <c r="AI4566" i="2"/>
  <c r="AJ4566" i="2"/>
  <c r="AF4567" i="2"/>
  <c r="AK4567" i="2"/>
  <c r="AG4567" i="2"/>
  <c r="AH4567" i="2"/>
  <c r="AL4567" i="2" s="1"/>
  <c r="AI4567" i="2"/>
  <c r="AJ4567" i="2"/>
  <c r="AF4568" i="2"/>
  <c r="AK4568" i="2"/>
  <c r="AL4568" i="2"/>
  <c r="AG4568" i="2"/>
  <c r="AH4568" i="2"/>
  <c r="AI4568" i="2"/>
  <c r="AJ4568" i="2"/>
  <c r="AF4569" i="2"/>
  <c r="AK4569" i="2"/>
  <c r="AG4569" i="2"/>
  <c r="AL4569" i="2" s="1"/>
  <c r="AH4569" i="2"/>
  <c r="AI4569" i="2"/>
  <c r="AJ4569" i="2"/>
  <c r="AF4570" i="2"/>
  <c r="AK4570" i="2" s="1"/>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L4575" i="2" s="1"/>
  <c r="AF4576" i="2"/>
  <c r="AK4576" i="2" s="1"/>
  <c r="AG4576" i="2"/>
  <c r="AH4576" i="2"/>
  <c r="AI4576" i="2"/>
  <c r="AJ4576" i="2"/>
  <c r="AF4577" i="2"/>
  <c r="AK4577" i="2" s="1"/>
  <c r="AL4577" i="2" s="1"/>
  <c r="AG4577" i="2"/>
  <c r="AH4577" i="2"/>
  <c r="AI4577" i="2"/>
  <c r="AJ4577" i="2"/>
  <c r="AF4578" i="2"/>
  <c r="AK4578" i="2" s="1"/>
  <c r="AL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L4582" i="2" s="1"/>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L4594" i="2" s="1"/>
  <c r="AF4595" i="2"/>
  <c r="AK4595" i="2" s="1"/>
  <c r="AG4595" i="2"/>
  <c r="AH4595" i="2"/>
  <c r="AI4595" i="2"/>
  <c r="AL4595" i="2"/>
  <c r="AJ4595" i="2"/>
  <c r="AF4596" i="2"/>
  <c r="AK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c r="AG4602" i="2"/>
  <c r="AL4602" i="2" s="1"/>
  <c r="AH4602" i="2"/>
  <c r="AI4602" i="2"/>
  <c r="AJ4602" i="2"/>
  <c r="AF4603" i="2"/>
  <c r="AK4603" i="2" s="1"/>
  <c r="AG4603" i="2"/>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L4608" i="2" s="1"/>
  <c r="AI4608" i="2"/>
  <c r="AJ4608" i="2"/>
  <c r="AF4609" i="2"/>
  <c r="AK4609" i="2"/>
  <c r="AG4609" i="2"/>
  <c r="AL4609" i="2" s="1"/>
  <c r="AH4609" i="2"/>
  <c r="AI4609" i="2"/>
  <c r="AJ4609" i="2"/>
  <c r="AF4610" i="2"/>
  <c r="AK4610" i="2"/>
  <c r="AG4610" i="2"/>
  <c r="AL4610" i="2" s="1"/>
  <c r="AH4610" i="2"/>
  <c r="AI4610" i="2"/>
  <c r="AJ4610" i="2"/>
  <c r="AF4611" i="2"/>
  <c r="AK4611" i="2"/>
  <c r="AL4611" i="2" s="1"/>
  <c r="AG4611" i="2"/>
  <c r="AH4611" i="2"/>
  <c r="AI4611" i="2"/>
  <c r="AJ4611" i="2"/>
  <c r="AF4612" i="2"/>
  <c r="AK4612" i="2"/>
  <c r="AL4612" i="2" s="1"/>
  <c r="AG4612" i="2"/>
  <c r="AH4612" i="2"/>
  <c r="AI4612" i="2"/>
  <c r="AJ4612" i="2"/>
  <c r="AF4613" i="2"/>
  <c r="AK4613" i="2" s="1"/>
  <c r="AL4613" i="2" s="1"/>
  <c r="AG4613" i="2"/>
  <c r="AH4613" i="2"/>
  <c r="AI4613" i="2"/>
  <c r="AJ4613" i="2"/>
  <c r="AF4614" i="2"/>
  <c r="AK4614" i="2"/>
  <c r="AG4614" i="2"/>
  <c r="AH4614" i="2"/>
  <c r="AI4614" i="2"/>
  <c r="AJ4614" i="2"/>
  <c r="AL4614" i="2" s="1"/>
  <c r="AF4615" i="2"/>
  <c r="AK4615" i="2" s="1"/>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L4621" i="2"/>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s="1"/>
  <c r="AG4627" i="2"/>
  <c r="AL4627" i="2" s="1"/>
  <c r="AH4627" i="2"/>
  <c r="AI4627" i="2"/>
  <c r="AJ4627" i="2"/>
  <c r="AF4628" i="2"/>
  <c r="AK4628" i="2"/>
  <c r="AG4628" i="2"/>
  <c r="AH4628" i="2"/>
  <c r="AI4628" i="2"/>
  <c r="AJ4628" i="2"/>
  <c r="AF4629" i="2"/>
  <c r="AK4629" i="2"/>
  <c r="AG4629" i="2"/>
  <c r="AL4629" i="2" s="1"/>
  <c r="AH4629" i="2"/>
  <c r="AI4629" i="2"/>
  <c r="AJ4629" i="2"/>
  <c r="AF4630" i="2"/>
  <c r="AK4630" i="2"/>
  <c r="AG4630" i="2"/>
  <c r="AL4630" i="2" s="1"/>
  <c r="AH4630" i="2"/>
  <c r="AI4630" i="2"/>
  <c r="AJ4630" i="2"/>
  <c r="AF4631" i="2"/>
  <c r="AK4631" i="2"/>
  <c r="AG4631" i="2"/>
  <c r="AH4631" i="2"/>
  <c r="AI4631" i="2"/>
  <c r="AJ4631" i="2"/>
  <c r="AF4632" i="2"/>
  <c r="AK4632" i="2" s="1"/>
  <c r="AL4632" i="2" s="1"/>
  <c r="AG4632" i="2"/>
  <c r="AH4632" i="2"/>
  <c r="AI4632" i="2"/>
  <c r="AJ4632" i="2"/>
  <c r="AF4633" i="2"/>
  <c r="AK4633" i="2"/>
  <c r="AL4633" i="2" s="1"/>
  <c r="AG4633" i="2"/>
  <c r="AH4633" i="2"/>
  <c r="AI4633" i="2"/>
  <c r="AJ4633" i="2"/>
  <c r="AF4634" i="2"/>
  <c r="AK4634" i="2" s="1"/>
  <c r="AG4634" i="2"/>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s="1"/>
  <c r="AG4638" i="2"/>
  <c r="AH4638" i="2"/>
  <c r="AI4638" i="2"/>
  <c r="AJ4638" i="2"/>
  <c r="AF4639" i="2"/>
  <c r="AK4639" i="2" s="1"/>
  <c r="AG4639" i="2"/>
  <c r="AH4639" i="2"/>
  <c r="AI4639" i="2"/>
  <c r="AJ4639" i="2"/>
  <c r="AL4639" i="2" s="1"/>
  <c r="AF4640" i="2"/>
  <c r="AK4640" i="2" s="1"/>
  <c r="AG4640" i="2"/>
  <c r="AH4640" i="2"/>
  <c r="AI4640" i="2"/>
  <c r="AJ4640" i="2"/>
  <c r="AF4641" i="2"/>
  <c r="AK4641" i="2"/>
  <c r="AG4641" i="2"/>
  <c r="AL4641" i="2" s="1"/>
  <c r="AH4641" i="2"/>
  <c r="AI4641" i="2"/>
  <c r="AJ4641" i="2"/>
  <c r="AF4642" i="2"/>
  <c r="AK4642" i="2"/>
  <c r="AG4642" i="2"/>
  <c r="AH4642" i="2"/>
  <c r="AI4642" i="2"/>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s="1"/>
  <c r="AG4646" i="2"/>
  <c r="AH4646" i="2"/>
  <c r="AI4646" i="2"/>
  <c r="AJ4646" i="2"/>
  <c r="AF4647" i="2"/>
  <c r="AK4647" i="2"/>
  <c r="AG4647" i="2"/>
  <c r="AH4647" i="2"/>
  <c r="AI4647" i="2"/>
  <c r="AJ4647" i="2"/>
  <c r="AF4648" i="2"/>
  <c r="AK4648" i="2" s="1"/>
  <c r="AG4648" i="2"/>
  <c r="AH4648" i="2"/>
  <c r="AI4648" i="2"/>
  <c r="AJ4648" i="2"/>
  <c r="AL4648" i="2" s="1"/>
  <c r="AF4649" i="2"/>
  <c r="AK4649" i="2" s="1"/>
  <c r="AG4649" i="2"/>
  <c r="AH4649" i="2"/>
  <c r="AI4649" i="2"/>
  <c r="AJ4649" i="2"/>
  <c r="AL4649" i="2" s="1"/>
  <c r="AF4650" i="2"/>
  <c r="AK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s="1"/>
  <c r="AL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s="1"/>
  <c r="AG4659" i="2"/>
  <c r="AH4659" i="2"/>
  <c r="AI4659" i="2"/>
  <c r="AJ4659" i="2"/>
  <c r="AL4659" i="2" s="1"/>
  <c r="AF4660" i="2"/>
  <c r="AK4660" i="2"/>
  <c r="AG4660" i="2"/>
  <c r="AH4660" i="2"/>
  <c r="AI4660" i="2"/>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L4666" i="2"/>
  <c r="AH4666" i="2"/>
  <c r="AI4666" i="2"/>
  <c r="AJ4666" i="2"/>
  <c r="AF4667" i="2"/>
  <c r="AK4667" i="2"/>
  <c r="AL4667" i="2" s="1"/>
  <c r="AG4667" i="2"/>
  <c r="AH4667" i="2"/>
  <c r="AI4667" i="2"/>
  <c r="AJ4667" i="2"/>
  <c r="AF4668" i="2"/>
  <c r="AK4668" i="2"/>
  <c r="AL4668" i="2" s="1"/>
  <c r="AG4668" i="2"/>
  <c r="AH4668" i="2"/>
  <c r="AI4668" i="2"/>
  <c r="AJ4668" i="2"/>
  <c r="AF4669" i="2"/>
  <c r="AK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L4673" i="2"/>
  <c r="AJ4673" i="2"/>
  <c r="AF4674" i="2"/>
  <c r="AK4674" i="2"/>
  <c r="AG4674" i="2"/>
  <c r="AH4674" i="2"/>
  <c r="AL4674" i="2" s="1"/>
  <c r="AI4674" i="2"/>
  <c r="AJ4674" i="2"/>
  <c r="AF4675" i="2"/>
  <c r="AK4675" i="2"/>
  <c r="AG4675" i="2"/>
  <c r="AH4675" i="2"/>
  <c r="AI4675" i="2"/>
  <c r="AJ4675" i="2"/>
  <c r="AF4676" i="2"/>
  <c r="AK4676" i="2" s="1"/>
  <c r="AG4676" i="2"/>
  <c r="AL4676" i="2" s="1"/>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F4680" i="2"/>
  <c r="AK4680" i="2"/>
  <c r="AL4680" i="2" s="1"/>
  <c r="AG4680" i="2"/>
  <c r="AH4680" i="2"/>
  <c r="AI4680" i="2"/>
  <c r="AJ4680" i="2"/>
  <c r="AF4681" i="2"/>
  <c r="AK4681" i="2" s="1"/>
  <c r="AG4681" i="2"/>
  <c r="AH4681" i="2"/>
  <c r="AI4681" i="2"/>
  <c r="AJ4681" i="2"/>
  <c r="AF4682" i="2"/>
  <c r="AK4682" i="2" s="1"/>
  <c r="AL4682" i="2" s="1"/>
  <c r="AG4682" i="2"/>
  <c r="AH4682" i="2"/>
  <c r="AI4682" i="2"/>
  <c r="AJ4682" i="2"/>
  <c r="AF4683" i="2"/>
  <c r="AK4683" i="2" s="1"/>
  <c r="AG4683" i="2"/>
  <c r="AH4683" i="2"/>
  <c r="AI4683" i="2"/>
  <c r="AJ4683" i="2"/>
  <c r="AF4684" i="2"/>
  <c r="AK4684" i="2" s="1"/>
  <c r="AL4684" i="2" s="1"/>
  <c r="AG4684" i="2"/>
  <c r="AH4684" i="2"/>
  <c r="AI4684" i="2"/>
  <c r="AJ4684" i="2"/>
  <c r="AF4685" i="2"/>
  <c r="AK4685" i="2"/>
  <c r="AG4685" i="2"/>
  <c r="AH4685" i="2"/>
  <c r="AI4685" i="2"/>
  <c r="AJ4685" i="2"/>
  <c r="AF4686" i="2"/>
  <c r="AK4686" i="2" s="1"/>
  <c r="AG4686" i="2"/>
  <c r="AL4686" i="2" s="1"/>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H4694" i="2"/>
  <c r="AL4694" i="2" s="1"/>
  <c r="AI4694" i="2"/>
  <c r="AJ4694" i="2"/>
  <c r="AF4695" i="2"/>
  <c r="AK4695" i="2" s="1"/>
  <c r="AL4695" i="2"/>
  <c r="AG4695" i="2"/>
  <c r="AH4695" i="2"/>
  <c r="AI4695" i="2"/>
  <c r="AJ4695" i="2"/>
  <c r="AF4696" i="2"/>
  <c r="AK4696" i="2"/>
  <c r="AG4696" i="2"/>
  <c r="AL4696" i="2" s="1"/>
  <c r="AH4696" i="2"/>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J4699" i="2"/>
  <c r="AF4700" i="2"/>
  <c r="AK4700" i="2"/>
  <c r="AG4700" i="2"/>
  <c r="AH4700" i="2"/>
  <c r="AI4700" i="2"/>
  <c r="AJ4700" i="2"/>
  <c r="AF4701" i="2"/>
  <c r="AK4701" i="2" s="1"/>
  <c r="AG4701" i="2"/>
  <c r="AH4701" i="2"/>
  <c r="AI4701" i="2"/>
  <c r="AJ4701" i="2"/>
  <c r="AF4702" i="2"/>
  <c r="AK4702" i="2" s="1"/>
  <c r="AG4702" i="2"/>
  <c r="AL4702" i="2"/>
  <c r="AH4702" i="2"/>
  <c r="AI4702" i="2"/>
  <c r="AJ4702" i="2"/>
  <c r="AF4703" i="2"/>
  <c r="AK4703" i="2" s="1"/>
  <c r="AG4703" i="2"/>
  <c r="AL4703" i="2" s="1"/>
  <c r="AH4703" i="2"/>
  <c r="AI4703" i="2"/>
  <c r="AJ4703" i="2"/>
  <c r="AF4704" i="2"/>
  <c r="AK4704" i="2"/>
  <c r="AG4704" i="2"/>
  <c r="AH4704" i="2"/>
  <c r="AI4704" i="2"/>
  <c r="AJ4704" i="2"/>
  <c r="AF4705" i="2"/>
  <c r="AK4705" i="2"/>
  <c r="AL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L4708" i="2" s="1"/>
  <c r="AI4708" i="2"/>
  <c r="AJ4708" i="2"/>
  <c r="AF4709" i="2"/>
  <c r="AK4709" i="2" s="1"/>
  <c r="AG4709" i="2"/>
  <c r="AH4709" i="2"/>
  <c r="AI4709" i="2"/>
  <c r="AJ4709" i="2"/>
  <c r="AF4710" i="2"/>
  <c r="AK4710" i="2"/>
  <c r="AG4710" i="2"/>
  <c r="AH4710" i="2"/>
  <c r="AL4710" i="2" s="1"/>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H4714" i="2"/>
  <c r="AI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L4718" i="2" s="1"/>
  <c r="AI4718" i="2"/>
  <c r="AJ4718" i="2"/>
  <c r="AF4719" i="2"/>
  <c r="AK4719" i="2" s="1"/>
  <c r="AG4719" i="2"/>
  <c r="AL4719" i="2" s="1"/>
  <c r="AH4719" i="2"/>
  <c r="AI4719" i="2"/>
  <c r="AJ4719" i="2"/>
  <c r="AF4720" i="2"/>
  <c r="AK4720" i="2" s="1"/>
  <c r="AG4720" i="2"/>
  <c r="AH4720" i="2"/>
  <c r="AI4720" i="2"/>
  <c r="AJ4720" i="2"/>
  <c r="AF4721" i="2"/>
  <c r="AK4721" i="2" s="1"/>
  <c r="AG4721" i="2"/>
  <c r="AH4721" i="2"/>
  <c r="AL4721" i="2"/>
  <c r="AI4721" i="2"/>
  <c r="AJ4721" i="2"/>
  <c r="AF4722" i="2"/>
  <c r="AK4722" i="2"/>
  <c r="AG4722" i="2"/>
  <c r="AL4722" i="2" s="1"/>
  <c r="AH4722" i="2"/>
  <c r="AI4722" i="2"/>
  <c r="AJ4722" i="2"/>
  <c r="AF4723" i="2"/>
  <c r="AK4723" i="2"/>
  <c r="AG4723" i="2"/>
  <c r="AH4723" i="2"/>
  <c r="AI4723" i="2"/>
  <c r="AJ4723" i="2"/>
  <c r="AF4724" i="2"/>
  <c r="AK4724" i="2" s="1"/>
  <c r="AL4724" i="2" s="1"/>
  <c r="AG4724" i="2"/>
  <c r="AH4724" i="2"/>
  <c r="AI4724" i="2"/>
  <c r="AJ4724" i="2"/>
  <c r="AF4725" i="2"/>
  <c r="AK4725" i="2"/>
  <c r="AG4725" i="2"/>
  <c r="AH4725" i="2"/>
  <c r="AI4725" i="2"/>
  <c r="AJ4725" i="2"/>
  <c r="AF4726" i="2"/>
  <c r="AK4726" i="2" s="1"/>
  <c r="AG4726" i="2"/>
  <c r="AH4726" i="2"/>
  <c r="AI4726" i="2"/>
  <c r="AJ4726" i="2"/>
  <c r="AL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c r="AG4732" i="2"/>
  <c r="AH4732" i="2"/>
  <c r="AI4732" i="2"/>
  <c r="AJ4732" i="2"/>
  <c r="AF4733" i="2"/>
  <c r="AK4733" i="2" s="1"/>
  <c r="AG4733" i="2"/>
  <c r="AH4733" i="2"/>
  <c r="AI4733" i="2"/>
  <c r="AJ4733" i="2"/>
  <c r="AF4734" i="2"/>
  <c r="AK4734" i="2" s="1"/>
  <c r="AL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H4739" i="2"/>
  <c r="AL4739" i="2" s="1"/>
  <c r="AI4739" i="2"/>
  <c r="AJ4739" i="2"/>
  <c r="AF4740" i="2"/>
  <c r="AK4740" i="2" s="1"/>
  <c r="AL4740" i="2" s="1"/>
  <c r="AG4740" i="2"/>
  <c r="AH4740" i="2"/>
  <c r="AI4740" i="2"/>
  <c r="AJ4740" i="2"/>
  <c r="AF4741" i="2"/>
  <c r="AK4741" i="2"/>
  <c r="AG4741" i="2"/>
  <c r="AL4741" i="2"/>
  <c r="AH4741" i="2"/>
  <c r="AI4741" i="2"/>
  <c r="AJ4741" i="2"/>
  <c r="AF4742" i="2"/>
  <c r="AK4742" i="2"/>
  <c r="AG4742" i="2"/>
  <c r="AH4742" i="2"/>
  <c r="AI4742" i="2"/>
  <c r="AJ4742" i="2"/>
  <c r="AF4743" i="2"/>
  <c r="AK4743" i="2"/>
  <c r="AG4743" i="2"/>
  <c r="AH4743" i="2"/>
  <c r="AI4743" i="2"/>
  <c r="AJ4743" i="2"/>
  <c r="AL4743" i="2" s="1"/>
  <c r="AF4744" i="2"/>
  <c r="AK4744" i="2" s="1"/>
  <c r="AL4744" i="2" s="1"/>
  <c r="AG4744" i="2"/>
  <c r="AH4744" i="2"/>
  <c r="AI4744" i="2"/>
  <c r="AJ4744" i="2"/>
  <c r="AF4745" i="2"/>
  <c r="AK4745" i="2" s="1"/>
  <c r="AG4745" i="2"/>
  <c r="AH4745" i="2"/>
  <c r="AI4745" i="2"/>
  <c r="AJ4745" i="2"/>
  <c r="AF4746" i="2"/>
  <c r="AK4746" i="2" s="1"/>
  <c r="AL4746" i="2"/>
  <c r="AG4746" i="2"/>
  <c r="AH4746" i="2"/>
  <c r="AI4746" i="2"/>
  <c r="AJ4746" i="2"/>
  <c r="AF4747" i="2"/>
  <c r="AK4747" i="2"/>
  <c r="AL4747" i="2"/>
  <c r="AG4747" i="2"/>
  <c r="AH4747" i="2"/>
  <c r="AI4747" i="2"/>
  <c r="AJ4747" i="2"/>
  <c r="AF4748" i="2"/>
  <c r="AK4748" i="2" s="1"/>
  <c r="AL4748" i="2" s="1"/>
  <c r="AG4748" i="2"/>
  <c r="AH4748" i="2"/>
  <c r="AI4748" i="2"/>
  <c r="AJ4748" i="2"/>
  <c r="AF4749" i="2"/>
  <c r="AK4749" i="2"/>
  <c r="AG4749" i="2"/>
  <c r="AL4749" i="2" s="1"/>
  <c r="AH4749" i="2"/>
  <c r="AI4749" i="2"/>
  <c r="AJ4749" i="2"/>
  <c r="AF4750" i="2"/>
  <c r="AK4750" i="2" s="1"/>
  <c r="AL4750" i="2" s="1"/>
  <c r="AG4750" i="2"/>
  <c r="AH4750" i="2"/>
  <c r="AI4750" i="2"/>
  <c r="AJ4750" i="2"/>
  <c r="AF4751" i="2"/>
  <c r="AK4751" i="2" s="1"/>
  <c r="AG4751" i="2"/>
  <c r="AH4751" i="2"/>
  <c r="AI4751" i="2"/>
  <c r="AJ4751" i="2"/>
  <c r="AL4751" i="2" s="1"/>
  <c r="AF4752" i="2"/>
  <c r="AK4752" i="2"/>
  <c r="AG4752" i="2"/>
  <c r="AH4752" i="2"/>
  <c r="AI4752" i="2"/>
  <c r="AJ4752" i="2"/>
  <c r="AF4753" i="2"/>
  <c r="AK4753" i="2" s="1"/>
  <c r="AG4753" i="2"/>
  <c r="AH4753" i="2"/>
  <c r="AI4753" i="2"/>
  <c r="AL4753" i="2" s="1"/>
  <c r="AJ4753" i="2"/>
  <c r="AF4754" i="2"/>
  <c r="AK4754" i="2" s="1"/>
  <c r="AG4754" i="2"/>
  <c r="AH4754" i="2"/>
  <c r="AI4754" i="2"/>
  <c r="AJ4754" i="2"/>
  <c r="AF4755" i="2"/>
  <c r="AK4755" i="2"/>
  <c r="AG4755" i="2"/>
  <c r="AH4755" i="2"/>
  <c r="AI4755" i="2"/>
  <c r="AL4755" i="2" s="1"/>
  <c r="AJ4755" i="2"/>
  <c r="AF4756" i="2"/>
  <c r="AK4756" i="2" s="1"/>
  <c r="AL4756" i="2" s="1"/>
  <c r="AG4756" i="2"/>
  <c r="AH4756" i="2"/>
  <c r="AI4756" i="2"/>
  <c r="AJ4756" i="2"/>
  <c r="AF4757" i="2"/>
  <c r="AK4757" i="2" s="1"/>
  <c r="AG4757" i="2"/>
  <c r="AH4757" i="2"/>
  <c r="AL4757" i="2" s="1"/>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s="1"/>
  <c r="AG4761" i="2"/>
  <c r="AH4761" i="2"/>
  <c r="AI4761" i="2"/>
  <c r="AJ4761" i="2"/>
  <c r="AF4762" i="2"/>
  <c r="AK4762" i="2" s="1"/>
  <c r="AG4762" i="2"/>
  <c r="AH4762" i="2"/>
  <c r="AI4762" i="2"/>
  <c r="AL4762" i="2" s="1"/>
  <c r="AJ4762" i="2"/>
  <c r="AF4763" i="2"/>
  <c r="AK4763" i="2" s="1"/>
  <c r="AG4763" i="2"/>
  <c r="AH4763" i="2"/>
  <c r="AL4763" i="2" s="1"/>
  <c r="AI4763" i="2"/>
  <c r="AJ4763" i="2"/>
  <c r="AF4764" i="2"/>
  <c r="AK4764" i="2"/>
  <c r="AG4764" i="2"/>
  <c r="AL4764" i="2"/>
  <c r="AH4764" i="2"/>
  <c r="AI4764" i="2"/>
  <c r="AJ4764" i="2"/>
  <c r="AF4765" i="2"/>
  <c r="AK4765" i="2" s="1"/>
  <c r="AG4765" i="2"/>
  <c r="AL4765" i="2" s="1"/>
  <c r="AH4765" i="2"/>
  <c r="AI4765" i="2"/>
  <c r="AJ4765" i="2"/>
  <c r="AF4766" i="2"/>
  <c r="AK4766" i="2"/>
  <c r="AG4766" i="2"/>
  <c r="AL4766" i="2" s="1"/>
  <c r="AH4766" i="2"/>
  <c r="AI4766" i="2"/>
  <c r="AJ4766" i="2"/>
  <c r="AF4767" i="2"/>
  <c r="AK4767" i="2"/>
  <c r="AG4767" i="2"/>
  <c r="AH4767" i="2"/>
  <c r="AI4767" i="2"/>
  <c r="AJ4767" i="2"/>
  <c r="AF4768" i="2"/>
  <c r="AK4768" i="2" s="1"/>
  <c r="AL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L4772" i="2" s="1"/>
  <c r="AF4773" i="2"/>
  <c r="AK4773" i="2" s="1"/>
  <c r="AG4773" i="2"/>
  <c r="AH4773" i="2"/>
  <c r="AI4773" i="2"/>
  <c r="AJ4773" i="2"/>
  <c r="AL4773" i="2" s="1"/>
  <c r="AF4774" i="2"/>
  <c r="AK4774" i="2" s="1"/>
  <c r="AG4774" i="2"/>
  <c r="AH4774" i="2"/>
  <c r="AL4774" i="2"/>
  <c r="AI4774" i="2"/>
  <c r="AJ4774" i="2"/>
  <c r="AF4775" i="2"/>
  <c r="AK4775" i="2" s="1"/>
  <c r="AL4775" i="2"/>
  <c r="AG4775" i="2"/>
  <c r="AH4775" i="2"/>
  <c r="AI4775" i="2"/>
  <c r="AJ4775" i="2"/>
  <c r="AF4776" i="2"/>
  <c r="AK4776" i="2"/>
  <c r="AL4776" i="2"/>
  <c r="AG4776" i="2"/>
  <c r="AH4776" i="2"/>
  <c r="AI4776" i="2"/>
  <c r="AJ4776" i="2"/>
  <c r="AF4777" i="2"/>
  <c r="AK4777" i="2" s="1"/>
  <c r="AG4777" i="2"/>
  <c r="AH4777" i="2"/>
  <c r="AI4777" i="2"/>
  <c r="AJ4777" i="2"/>
  <c r="AF4778" i="2"/>
  <c r="AK4778" i="2" s="1"/>
  <c r="AG4778" i="2"/>
  <c r="AH4778" i="2"/>
  <c r="AI4778" i="2"/>
  <c r="AJ4778" i="2"/>
  <c r="AF4779" i="2"/>
  <c r="AK4779" i="2" s="1"/>
  <c r="AL4779" i="2" s="1"/>
  <c r="AG4779" i="2"/>
  <c r="AH4779" i="2"/>
  <c r="AI4779" i="2"/>
  <c r="AJ4779" i="2"/>
  <c r="AF4780" i="2"/>
  <c r="AK4780" i="2" s="1"/>
  <c r="AG4780" i="2"/>
  <c r="AH4780" i="2"/>
  <c r="AI4780" i="2"/>
  <c r="AJ4780" i="2"/>
  <c r="AL4780" i="2" s="1"/>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G4792" i="2"/>
  <c r="AL4792" i="2" s="1"/>
  <c r="AH4792" i="2"/>
  <c r="AI4792" i="2"/>
  <c r="AJ4792" i="2"/>
  <c r="AF4793" i="2"/>
  <c r="AK4793" i="2" s="1"/>
  <c r="AG4793" i="2"/>
  <c r="AH4793" i="2"/>
  <c r="AL4793" i="2" s="1"/>
  <c r="AI4793" i="2"/>
  <c r="AJ4793" i="2"/>
  <c r="AF4794" i="2"/>
  <c r="AK4794" i="2"/>
  <c r="AG4794" i="2"/>
  <c r="AH4794" i="2"/>
  <c r="AI4794" i="2"/>
  <c r="AJ4794" i="2"/>
  <c r="AF4795" i="2"/>
  <c r="AK4795" i="2"/>
  <c r="AG4795" i="2"/>
  <c r="AH4795" i="2"/>
  <c r="AI4795" i="2"/>
  <c r="AJ4795" i="2"/>
  <c r="AF4796" i="2"/>
  <c r="AK4796" i="2" s="1"/>
  <c r="AL4796" i="2" s="1"/>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L4800" i="2" s="1"/>
  <c r="AG4800" i="2"/>
  <c r="AH4800" i="2"/>
  <c r="AI4800" i="2"/>
  <c r="AJ4800" i="2"/>
  <c r="AF4801" i="2"/>
  <c r="AK4801" i="2" s="1"/>
  <c r="AG4801" i="2"/>
  <c r="AH4801" i="2"/>
  <c r="AI4801" i="2"/>
  <c r="AJ4801" i="2"/>
  <c r="AF4802" i="2"/>
  <c r="AK4802" i="2"/>
  <c r="AG4802" i="2"/>
  <c r="AH4802" i="2"/>
  <c r="AI4802" i="2"/>
  <c r="AJ4802" i="2"/>
  <c r="AF4803" i="2"/>
  <c r="AK4803" i="2" s="1"/>
  <c r="AG4803" i="2"/>
  <c r="AH4803" i="2"/>
  <c r="AL4803" i="2" s="1"/>
  <c r="AI4803" i="2"/>
  <c r="AJ4803" i="2"/>
  <c r="AF4804" i="2"/>
  <c r="AK4804" i="2"/>
  <c r="AG4804" i="2"/>
  <c r="AH4804" i="2"/>
  <c r="AI4804" i="2"/>
  <c r="AJ4804" i="2"/>
  <c r="AF4805" i="2"/>
  <c r="AK4805" i="2" s="1"/>
  <c r="AG4805" i="2"/>
  <c r="AH4805" i="2"/>
  <c r="AI4805" i="2"/>
  <c r="AJ4805" i="2"/>
  <c r="AF4806" i="2"/>
  <c r="AK4806" i="2" s="1"/>
  <c r="AG4806" i="2"/>
  <c r="AH4806" i="2"/>
  <c r="AI4806" i="2"/>
  <c r="AJ4806" i="2"/>
  <c r="AF4807" i="2"/>
  <c r="AK4807" i="2" s="1"/>
  <c r="AG4807" i="2"/>
  <c r="AH4807" i="2"/>
  <c r="AI4807" i="2"/>
  <c r="AJ4807" i="2"/>
  <c r="AF4808" i="2"/>
  <c r="AK4808" i="2" s="1"/>
  <c r="AL4808" i="2" s="1"/>
  <c r="AG4808" i="2"/>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I4812" i="2"/>
  <c r="AJ4812" i="2"/>
  <c r="AF4813" i="2"/>
  <c r="AK4813" i="2" s="1"/>
  <c r="AG4813" i="2"/>
  <c r="AH4813" i="2"/>
  <c r="AI4813" i="2"/>
  <c r="AJ4813" i="2"/>
  <c r="AF4814" i="2"/>
  <c r="AK4814" i="2" s="1"/>
  <c r="AG4814" i="2"/>
  <c r="AH4814" i="2"/>
  <c r="AL4814" i="2" s="1"/>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L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c r="AL4823" i="2" s="1"/>
  <c r="AG4823" i="2"/>
  <c r="AH4823" i="2"/>
  <c r="AI4823" i="2"/>
  <c r="AJ4823" i="2"/>
  <c r="AF4824" i="2"/>
  <c r="AK4824" i="2" s="1"/>
  <c r="AG4824" i="2"/>
  <c r="AH4824" i="2"/>
  <c r="AI4824" i="2"/>
  <c r="AJ4824" i="2"/>
  <c r="AF4825" i="2"/>
  <c r="AK4825" i="2"/>
  <c r="AL4825" i="2" s="1"/>
  <c r="AG4825" i="2"/>
  <c r="AH4825" i="2"/>
  <c r="AI4825" i="2"/>
  <c r="AJ4825" i="2"/>
  <c r="AF4826" i="2"/>
  <c r="AK4826" i="2" s="1"/>
  <c r="AG4826" i="2"/>
  <c r="AH4826" i="2"/>
  <c r="AI4826" i="2"/>
  <c r="AJ4826" i="2"/>
  <c r="AF4827" i="2"/>
  <c r="AK4827" i="2" s="1"/>
  <c r="AG4827" i="2"/>
  <c r="AH4827" i="2"/>
  <c r="AI4827" i="2"/>
  <c r="AL4827" i="2" s="1"/>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J4831" i="2"/>
  <c r="AF4832" i="2"/>
  <c r="AK4832" i="2" s="1"/>
  <c r="AL4832" i="2" s="1"/>
  <c r="AG4832" i="2"/>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L4838" i="2"/>
  <c r="AH4838" i="2"/>
  <c r="AI4838" i="2"/>
  <c r="AJ4838" i="2"/>
  <c r="AF4839" i="2"/>
  <c r="AK4839" i="2" s="1"/>
  <c r="AG4839" i="2"/>
  <c r="AH4839" i="2"/>
  <c r="AL4839" i="2" s="1"/>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L4843" i="2" s="1"/>
  <c r="AG4843" i="2"/>
  <c r="AH4843" i="2"/>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L4849" i="2"/>
  <c r="AG4849" i="2"/>
  <c r="AH4849" i="2"/>
  <c r="AI4849" i="2"/>
  <c r="AJ4849" i="2"/>
  <c r="AF4850" i="2"/>
  <c r="AK4850" i="2" s="1"/>
  <c r="AL4850" i="2" s="1"/>
  <c r="AG4850" i="2"/>
  <c r="AH4850" i="2"/>
  <c r="AI4850" i="2"/>
  <c r="AJ4850" i="2"/>
  <c r="AF4851" i="2"/>
  <c r="AK4851" i="2"/>
  <c r="AG4851" i="2"/>
  <c r="AH4851" i="2"/>
  <c r="AI4851" i="2"/>
  <c r="AJ4851" i="2"/>
  <c r="AF4852" i="2"/>
  <c r="AK4852" i="2" s="1"/>
  <c r="AG4852" i="2"/>
  <c r="AH4852" i="2"/>
  <c r="AI4852" i="2"/>
  <c r="AJ4852" i="2"/>
  <c r="AF4853" i="2"/>
  <c r="AK4853" i="2" s="1"/>
  <c r="AL4853" i="2" s="1"/>
  <c r="AG4853" i="2"/>
  <c r="AH4853" i="2"/>
  <c r="AI4853" i="2"/>
  <c r="AJ4853" i="2"/>
  <c r="AF4854" i="2"/>
  <c r="AK4854" i="2" s="1"/>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s="1"/>
  <c r="AL4860" i="2" s="1"/>
  <c r="AG4860" i="2"/>
  <c r="AH4860" i="2"/>
  <c r="AI4860" i="2"/>
  <c r="AJ4860" i="2"/>
  <c r="AF4861" i="2"/>
  <c r="AK4861" i="2" s="1"/>
  <c r="AL4861" i="2" s="1"/>
  <c r="AG4861" i="2"/>
  <c r="AH4861" i="2"/>
  <c r="AI4861" i="2"/>
  <c r="AJ4861" i="2"/>
  <c r="AF4862" i="2"/>
  <c r="AK4862" i="2" s="1"/>
  <c r="AG4862" i="2"/>
  <c r="AH4862" i="2"/>
  <c r="AI4862" i="2"/>
  <c r="AL4862" i="2" s="1"/>
  <c r="AJ4862" i="2"/>
  <c r="AF4863" i="2"/>
  <c r="AK4863" i="2" s="1"/>
  <c r="AG4863" i="2"/>
  <c r="AH4863" i="2"/>
  <c r="AI4863" i="2"/>
  <c r="AL4863" i="2" s="1"/>
  <c r="AJ4863" i="2"/>
  <c r="AF4864" i="2"/>
  <c r="AK4864" i="2"/>
  <c r="AG4864" i="2"/>
  <c r="AH4864" i="2"/>
  <c r="AI4864" i="2"/>
  <c r="AL4864" i="2" s="1"/>
  <c r="AJ4864" i="2"/>
  <c r="AF4865" i="2"/>
  <c r="AK4865" i="2" s="1"/>
  <c r="AG4865" i="2"/>
  <c r="AH4865" i="2"/>
  <c r="AI4865" i="2"/>
  <c r="AJ4865" i="2"/>
  <c r="AF4866" i="2"/>
  <c r="AK4866" i="2"/>
  <c r="AG4866" i="2"/>
  <c r="AL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L4870" i="2"/>
  <c r="AI4870" i="2"/>
  <c r="AJ4870" i="2"/>
  <c r="AF4871" i="2"/>
  <c r="AK4871" i="2" s="1"/>
  <c r="AG4871" i="2"/>
  <c r="AH4871" i="2"/>
  <c r="AI4871" i="2"/>
  <c r="AJ4871" i="2"/>
  <c r="AF4872" i="2"/>
  <c r="AK4872" i="2" s="1"/>
  <c r="AG4872" i="2"/>
  <c r="AH4872" i="2"/>
  <c r="AI4872" i="2"/>
  <c r="AJ4872" i="2"/>
  <c r="AF4873" i="2"/>
  <c r="AK4873" i="2" s="1"/>
  <c r="AG4873" i="2"/>
  <c r="AL4873" i="2" s="1"/>
  <c r="AH4873" i="2"/>
  <c r="AI4873" i="2"/>
  <c r="AJ4873" i="2"/>
  <c r="AF4874" i="2"/>
  <c r="AK4874" i="2"/>
  <c r="AG4874" i="2"/>
  <c r="AH4874" i="2"/>
  <c r="AI4874" i="2"/>
  <c r="AJ4874" i="2"/>
  <c r="AF4875" i="2"/>
  <c r="AK4875" i="2"/>
  <c r="AL4875" i="2" s="1"/>
  <c r="AG4875" i="2"/>
  <c r="AH4875" i="2"/>
  <c r="AI4875" i="2"/>
  <c r="AJ4875" i="2"/>
  <c r="AF4876" i="2"/>
  <c r="AK4876" i="2"/>
  <c r="AG4876" i="2"/>
  <c r="AH4876" i="2"/>
  <c r="AI4876" i="2"/>
  <c r="AJ4876" i="2"/>
  <c r="AF4877" i="2"/>
  <c r="AK4877" i="2" s="1"/>
  <c r="AG4877" i="2"/>
  <c r="AL4877" i="2" s="1"/>
  <c r="AH4877" i="2"/>
  <c r="AI4877" i="2"/>
  <c r="AJ4877" i="2"/>
  <c r="AF4878" i="2"/>
  <c r="AK4878" i="2"/>
  <c r="AG4878" i="2"/>
  <c r="AH4878" i="2"/>
  <c r="AI4878" i="2"/>
  <c r="AJ4878" i="2"/>
  <c r="AL4878" i="2" s="1"/>
  <c r="AF4879" i="2"/>
  <c r="AK4879" i="2" s="1"/>
  <c r="AG4879" i="2"/>
  <c r="AL4879" i="2" s="1"/>
  <c r="AH4879" i="2"/>
  <c r="AI4879" i="2"/>
  <c r="AJ4879" i="2"/>
  <c r="AF4880" i="2"/>
  <c r="AK4880" i="2" s="1"/>
  <c r="AG4880" i="2"/>
  <c r="AH4880" i="2"/>
  <c r="AI4880" i="2"/>
  <c r="AJ4880" i="2"/>
  <c r="AF4881" i="2"/>
  <c r="AK4881" i="2"/>
  <c r="AG4881" i="2"/>
  <c r="AH4881" i="2"/>
  <c r="AL4881" i="2" s="1"/>
  <c r="AI4881" i="2"/>
  <c r="AJ4881" i="2"/>
  <c r="AF4882" i="2"/>
  <c r="AK4882" i="2"/>
  <c r="AG4882" i="2"/>
  <c r="AH4882" i="2"/>
  <c r="AI4882" i="2"/>
  <c r="AJ4882" i="2"/>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G4887" i="2"/>
  <c r="AH4887" i="2"/>
  <c r="AL4887" i="2" s="1"/>
  <c r="AI4887" i="2"/>
  <c r="AJ4887" i="2"/>
  <c r="AF4888" i="2"/>
  <c r="AK4888" i="2" s="1"/>
  <c r="AG4888" i="2"/>
  <c r="AH4888" i="2"/>
  <c r="AI4888" i="2"/>
  <c r="AJ4888" i="2"/>
  <c r="AF4889" i="2"/>
  <c r="AK4889" i="2" s="1"/>
  <c r="AG4889" i="2"/>
  <c r="AL4889" i="2" s="1"/>
  <c r="AH4889" i="2"/>
  <c r="AI4889" i="2"/>
  <c r="AJ4889" i="2"/>
  <c r="AF4890" i="2"/>
  <c r="AK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s="1"/>
  <c r="AG4898" i="2"/>
  <c r="AH4898" i="2"/>
  <c r="AI4898" i="2"/>
  <c r="AJ4898" i="2"/>
  <c r="AF4899" i="2"/>
  <c r="AK4899" i="2"/>
  <c r="AG4899" i="2"/>
  <c r="AL4899" i="2" s="1"/>
  <c r="AH4899" i="2"/>
  <c r="AI4899" i="2"/>
  <c r="AJ4899" i="2"/>
  <c r="AF4900" i="2"/>
  <c r="AK4900" i="2" s="1"/>
  <c r="AG4900" i="2"/>
  <c r="AH4900" i="2"/>
  <c r="AI4900" i="2"/>
  <c r="AJ4900" i="2"/>
  <c r="AF4901" i="2"/>
  <c r="AK4901" i="2"/>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L4909" i="2" s="1"/>
  <c r="AJ4909" i="2"/>
  <c r="AF4910" i="2"/>
  <c r="AK4910" i="2"/>
  <c r="AL4910" i="2" s="1"/>
  <c r="AG4910" i="2"/>
  <c r="AH4910" i="2"/>
  <c r="AI4910" i="2"/>
  <c r="AJ4910" i="2"/>
  <c r="AF4911" i="2"/>
  <c r="AK4911" i="2" s="1"/>
  <c r="AL4911" i="2" s="1"/>
  <c r="AG4911" i="2"/>
  <c r="AH4911" i="2"/>
  <c r="AI4911" i="2"/>
  <c r="AJ4911" i="2"/>
  <c r="AF4912" i="2"/>
  <c r="AK4912" i="2"/>
  <c r="AL4912" i="2" s="1"/>
  <c r="AG4912" i="2"/>
  <c r="AH4912" i="2"/>
  <c r="AI4912" i="2"/>
  <c r="AJ4912" i="2"/>
  <c r="AF4913" i="2"/>
  <c r="AK4913" i="2" s="1"/>
  <c r="AL4913" i="2" s="1"/>
  <c r="AG4913" i="2"/>
  <c r="AH4913" i="2"/>
  <c r="AI4913" i="2"/>
  <c r="AJ4913" i="2"/>
  <c r="AF4914" i="2"/>
  <c r="AK4914" i="2"/>
  <c r="AL4914" i="2" s="1"/>
  <c r="AG4914" i="2"/>
  <c r="AH4914" i="2"/>
  <c r="AI4914" i="2"/>
  <c r="AJ4914" i="2"/>
  <c r="AF4915" i="2"/>
  <c r="AK4915" i="2" s="1"/>
  <c r="AL4915" i="2" s="1"/>
  <c r="AG4915" i="2"/>
  <c r="AH4915" i="2"/>
  <c r="AI4915" i="2"/>
  <c r="AJ4915" i="2"/>
  <c r="AF4916" i="2"/>
  <c r="AK4916" i="2" s="1"/>
  <c r="AL4916" i="2" s="1"/>
  <c r="AG4916" i="2"/>
  <c r="AH4916" i="2"/>
  <c r="AI4916" i="2"/>
  <c r="AJ4916" i="2"/>
  <c r="AF4917" i="2"/>
  <c r="AK4917" i="2" s="1"/>
  <c r="AG4917" i="2"/>
  <c r="AH4917" i="2"/>
  <c r="AI4917" i="2"/>
  <c r="AJ4917" i="2"/>
  <c r="AF4918" i="2"/>
  <c r="AK4918" i="2"/>
  <c r="AG4918" i="2"/>
  <c r="AH4918" i="2"/>
  <c r="AI4918" i="2"/>
  <c r="AJ4918" i="2"/>
  <c r="AF4919" i="2"/>
  <c r="AK4919" i="2" s="1"/>
  <c r="AG4919" i="2"/>
  <c r="AH4919" i="2"/>
  <c r="AI4919" i="2"/>
  <c r="AL4919" i="2" s="1"/>
  <c r="AJ4919" i="2"/>
  <c r="AF4920" i="2"/>
  <c r="AK4920" i="2" s="1"/>
  <c r="AG4920" i="2"/>
  <c r="AH4920" i="2"/>
  <c r="AI4920" i="2"/>
  <c r="AJ4920" i="2"/>
  <c r="AF4921" i="2"/>
  <c r="AK4921" i="2"/>
  <c r="AG4921" i="2"/>
  <c r="AH4921" i="2"/>
  <c r="AI4921" i="2"/>
  <c r="AJ4921" i="2"/>
  <c r="AF4922" i="2"/>
  <c r="AK4922" i="2" s="1"/>
  <c r="AG4922" i="2"/>
  <c r="AL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c r="AG4934" i="2"/>
  <c r="AH4934" i="2"/>
  <c r="AI4934" i="2"/>
  <c r="AL4934" i="2" s="1"/>
  <c r="AJ4934" i="2"/>
  <c r="AF4935" i="2"/>
  <c r="AK4935" i="2" s="1"/>
  <c r="AG4935" i="2"/>
  <c r="AH4935" i="2"/>
  <c r="AI4935" i="2"/>
  <c r="AJ4935" i="2"/>
  <c r="AF4936" i="2"/>
  <c r="AK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L4939" i="2" s="1"/>
  <c r="AI4939" i="2"/>
  <c r="AJ4939" i="2"/>
  <c r="AF4940" i="2"/>
  <c r="AK4940" i="2" s="1"/>
  <c r="AG4940" i="2"/>
  <c r="AH4940" i="2"/>
  <c r="AL4940" i="2" s="1"/>
  <c r="AI4940" i="2"/>
  <c r="AJ4940" i="2"/>
  <c r="AF4941" i="2"/>
  <c r="AK4941" i="2"/>
  <c r="AG4941" i="2"/>
  <c r="AH4941" i="2"/>
  <c r="AI4941" i="2"/>
  <c r="AJ4941" i="2"/>
  <c r="AF4942" i="2"/>
  <c r="AK4942" i="2" s="1"/>
  <c r="AG4942" i="2"/>
  <c r="AL4942" i="2" s="1"/>
  <c r="AH4942" i="2"/>
  <c r="AI4942" i="2"/>
  <c r="AJ4942" i="2"/>
  <c r="AF4943" i="2"/>
  <c r="AK4943" i="2" s="1"/>
  <c r="AG4943" i="2"/>
  <c r="AH4943" i="2"/>
  <c r="AL4943" i="2" s="1"/>
  <c r="AI4943" i="2"/>
  <c r="AJ4943" i="2"/>
  <c r="AF4944" i="2"/>
  <c r="AK4944" i="2" s="1"/>
  <c r="AL4944" i="2" s="1"/>
  <c r="AG4944" i="2"/>
  <c r="AH4944" i="2"/>
  <c r="AI4944" i="2"/>
  <c r="AJ4944" i="2"/>
  <c r="AF4945" i="2"/>
  <c r="AK4945" i="2" s="1"/>
  <c r="AG4945" i="2"/>
  <c r="AH4945" i="2"/>
  <c r="AI4945" i="2"/>
  <c r="AL4945" i="2" s="1"/>
  <c r="AJ4945" i="2"/>
  <c r="AF4946" i="2"/>
  <c r="AK4946" i="2" s="1"/>
  <c r="AG4946" i="2"/>
  <c r="AH4946" i="2"/>
  <c r="AI4946" i="2"/>
  <c r="AJ4946" i="2"/>
  <c r="AF4947" i="2"/>
  <c r="AK4947" i="2"/>
  <c r="AG4947" i="2"/>
  <c r="AH4947" i="2"/>
  <c r="AL4947" i="2" s="1"/>
  <c r="AI4947" i="2"/>
  <c r="AJ4947" i="2"/>
  <c r="AF4948" i="2"/>
  <c r="AK4948" i="2" s="1"/>
  <c r="AG4948" i="2"/>
  <c r="AH4948" i="2"/>
  <c r="AI4948" i="2"/>
  <c r="AJ4948" i="2"/>
  <c r="AF4949" i="2"/>
  <c r="AK4949" i="2" s="1"/>
  <c r="AG4949" i="2"/>
  <c r="AH4949" i="2"/>
  <c r="AI4949" i="2"/>
  <c r="AL4949" i="2" s="1"/>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L4959" i="2" s="1"/>
  <c r="AF4960" i="2"/>
  <c r="AK4960" i="2" s="1"/>
  <c r="AG4960" i="2"/>
  <c r="AH4960" i="2"/>
  <c r="AI4960" i="2"/>
  <c r="AJ4960" i="2"/>
  <c r="AF4961" i="2"/>
  <c r="AK4961" i="2" s="1"/>
  <c r="AL4961" i="2" s="1"/>
  <c r="AG4961" i="2"/>
  <c r="AH4961" i="2"/>
  <c r="AI4961" i="2"/>
  <c r="AJ4961" i="2"/>
  <c r="AF4962" i="2"/>
  <c r="AK4962" i="2" s="1"/>
  <c r="AG4962" i="2"/>
  <c r="AH4962" i="2"/>
  <c r="AI4962" i="2"/>
  <c r="AJ4962" i="2"/>
  <c r="AF4963" i="2"/>
  <c r="AK4963" i="2" s="1"/>
  <c r="AG4963" i="2"/>
  <c r="AH4963" i="2"/>
  <c r="AI4963" i="2"/>
  <c r="AJ4963" i="2"/>
  <c r="AF4964" i="2"/>
  <c r="AK4964" i="2"/>
  <c r="AL4964" i="2" s="1"/>
  <c r="AG4964" i="2"/>
  <c r="AH4964" i="2"/>
  <c r="AI4964" i="2"/>
  <c r="AJ4964" i="2"/>
  <c r="AF4965" i="2"/>
  <c r="AK4965" i="2" s="1"/>
  <c r="AG4965" i="2"/>
  <c r="AH4965" i="2"/>
  <c r="AI4965" i="2"/>
  <c r="AJ4965" i="2"/>
  <c r="AF4966" i="2"/>
  <c r="AK4966" i="2" s="1"/>
  <c r="AG4966" i="2"/>
  <c r="AH4966" i="2"/>
  <c r="AL4966" i="2" s="1"/>
  <c r="AI4966" i="2"/>
  <c r="AJ4966" i="2"/>
  <c r="AF4967" i="2"/>
  <c r="AK4967" i="2" s="1"/>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G4973" i="2"/>
  <c r="AH4973" i="2"/>
  <c r="AI4973" i="2"/>
  <c r="AJ4973" i="2"/>
  <c r="AF4974" i="2"/>
  <c r="AK4974" i="2" s="1"/>
  <c r="AG4974" i="2"/>
  <c r="AH4974" i="2"/>
  <c r="AL4974" i="2" s="1"/>
  <c r="AI4974" i="2"/>
  <c r="AJ4974" i="2"/>
  <c r="AF4975" i="2"/>
  <c r="AK4975" i="2"/>
  <c r="AG4975" i="2"/>
  <c r="AH4975" i="2"/>
  <c r="AI4975" i="2"/>
  <c r="AL4975" i="2" s="1"/>
  <c r="AJ4975" i="2"/>
  <c r="AF4976" i="2"/>
  <c r="AK4976" i="2" s="1"/>
  <c r="AG4976" i="2"/>
  <c r="AH4976" i="2"/>
  <c r="AL4976" i="2" s="1"/>
  <c r="AI4976" i="2"/>
  <c r="AJ4976" i="2"/>
  <c r="AF4977" i="2"/>
  <c r="AK4977" i="2" s="1"/>
  <c r="AG4977" i="2"/>
  <c r="AL4977" i="2"/>
  <c r="AH4977" i="2"/>
  <c r="AI4977" i="2"/>
  <c r="AJ4977" i="2"/>
  <c r="AF4978" i="2"/>
  <c r="AK4978" i="2"/>
  <c r="AG4978" i="2"/>
  <c r="AH4978" i="2"/>
  <c r="AI4978" i="2"/>
  <c r="AL4978" i="2" s="1"/>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L4986" i="2" s="1"/>
  <c r="AJ4986" i="2"/>
  <c r="AF4987" i="2"/>
  <c r="AK4987" i="2" s="1"/>
  <c r="AG4987" i="2"/>
  <c r="AH4987" i="2"/>
  <c r="AI4987" i="2"/>
  <c r="AJ4987" i="2"/>
  <c r="AL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H4991" i="2"/>
  <c r="AI4991" i="2"/>
  <c r="AJ4991" i="2"/>
  <c r="AF4992" i="2"/>
  <c r="AK4992" i="2"/>
  <c r="AG4992" i="2"/>
  <c r="AH4992" i="2"/>
  <c r="AI4992" i="2"/>
  <c r="AJ4992" i="2"/>
  <c r="AF4993" i="2"/>
  <c r="AK4993" i="2" s="1"/>
  <c r="AG4993" i="2"/>
  <c r="AH4993" i="2"/>
  <c r="AL4993" i="2" s="1"/>
  <c r="AI4993" i="2"/>
  <c r="AJ4993" i="2"/>
  <c r="AF4994" i="2"/>
  <c r="AK4994" i="2" s="1"/>
  <c r="AG4994" i="2"/>
  <c r="AH4994" i="2"/>
  <c r="AI4994" i="2"/>
  <c r="AL4994" i="2" s="1"/>
  <c r="AJ4994" i="2"/>
  <c r="AF4995" i="2"/>
  <c r="AK4995" i="2"/>
  <c r="AG4995" i="2"/>
  <c r="AL4995" i="2" s="1"/>
  <c r="AH4995" i="2"/>
  <c r="AI4995" i="2"/>
  <c r="AJ4995" i="2"/>
  <c r="AF4996" i="2"/>
  <c r="AK4996" i="2" s="1"/>
  <c r="AL4996" i="2"/>
  <c r="AG4996" i="2"/>
  <c r="AH4996" i="2"/>
  <c r="AI4996" i="2"/>
  <c r="AJ4996" i="2"/>
  <c r="AF4997" i="2"/>
  <c r="AK4997" i="2" s="1"/>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7" i="2"/>
  <c r="AL5101" i="2"/>
  <c r="AL5105" i="2"/>
  <c r="AL5109" i="2"/>
  <c r="AL5113"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83" i="2"/>
  <c r="AL5191" i="2"/>
  <c r="AL5211" i="2"/>
  <c r="AL5140" i="2"/>
  <c r="AL5148" i="2"/>
  <c r="AL5156" i="2"/>
  <c r="AL5164" i="2"/>
  <c r="AL5172" i="2"/>
  <c r="AL5180" i="2"/>
  <c r="AL5188" i="2"/>
  <c r="AL5196" i="2"/>
  <c r="AL5203" i="2"/>
  <c r="AL5139" i="2"/>
  <c r="AL5147" i="2"/>
  <c r="AL5155" i="2"/>
  <c r="AL5163" i="2"/>
  <c r="AL5171" i="2"/>
  <c r="AL5179" i="2"/>
  <c r="AL5187" i="2"/>
  <c r="AL5195" i="2"/>
  <c r="AL5214" i="2"/>
  <c r="AL5154" i="2"/>
  <c r="AL5170" i="2"/>
  <c r="AL5178" i="2"/>
  <c r="AL5186" i="2"/>
  <c r="AL5194" i="2"/>
  <c r="AL5207" i="2"/>
  <c r="AL5219" i="2"/>
  <c r="AL5205" i="2"/>
  <c r="AL5213" i="2"/>
  <c r="AL5221" i="2"/>
  <c r="AL5202" i="2"/>
  <c r="AL5210" i="2"/>
  <c r="AL5218" i="2"/>
  <c r="AL5226" i="2"/>
  <c r="AL5230" i="2"/>
  <c r="AL5234" i="2"/>
  <c r="AL5242" i="2"/>
  <c r="AL5246" i="2"/>
  <c r="AL5250" i="2"/>
  <c r="AL5254" i="2"/>
  <c r="AL5258"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52" i="2"/>
  <c r="AL2944" i="2"/>
  <c r="AL2936" i="2"/>
  <c r="AL2928" i="2"/>
  <c r="AL2920" i="2"/>
  <c r="AL2912" i="2"/>
  <c r="AL2904" i="2"/>
  <c r="AL2896" i="2"/>
  <c r="AL2888" i="2"/>
  <c r="AL2880" i="2"/>
  <c r="AL2872" i="2"/>
  <c r="AL2864" i="2"/>
  <c r="AL2856" i="2"/>
  <c r="AL2848" i="2"/>
  <c r="AL2840" i="2"/>
  <c r="AL2832" i="2"/>
  <c r="AL2824" i="2"/>
  <c r="AL2816"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898" i="2"/>
  <c r="AL2890"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2993" i="2"/>
  <c r="AL2985"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76" i="2"/>
  <c r="AL2668" i="2"/>
  <c r="AL2660" i="2"/>
  <c r="AL2652" i="2"/>
  <c r="AL2644" i="2"/>
  <c r="AL2636" i="2"/>
  <c r="AL2628" i="2"/>
  <c r="AL2620"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49" i="2"/>
  <c r="AL2941" i="2"/>
  <c r="AL2933" i="2"/>
  <c r="AL2925" i="2"/>
  <c r="AL2909" i="2"/>
  <c r="AL2901"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18" i="2"/>
  <c r="AL2910" i="2"/>
  <c r="AL2902" i="2"/>
  <c r="AL2894" i="2"/>
  <c r="AL2886" i="2"/>
  <c r="AL2878" i="2"/>
  <c r="AL2870" i="2"/>
  <c r="AL2862" i="2"/>
  <c r="AL2854" i="2"/>
  <c r="AL2846" i="2"/>
  <c r="AL2838" i="2"/>
  <c r="AL2830" i="2"/>
  <c r="AL2822" i="2"/>
  <c r="AL2814" i="2"/>
  <c r="AL2806" i="2"/>
  <c r="AL2798" i="2"/>
  <c r="AL2790" i="2"/>
  <c r="AL2782" i="2"/>
  <c r="AL2774" i="2"/>
  <c r="AL2766" i="2"/>
  <c r="AL2750" i="2"/>
  <c r="AL2742" i="2"/>
  <c r="AL2734" i="2"/>
  <c r="AL2726" i="2"/>
  <c r="AL2718" i="2"/>
  <c r="AL2710" i="2"/>
  <c r="AL2702" i="2"/>
  <c r="AL2694" i="2"/>
  <c r="AL2686" i="2"/>
  <c r="AL2678" i="2"/>
  <c r="AL2670" i="2"/>
  <c r="AL2662" i="2"/>
  <c r="AL2654" i="2"/>
  <c r="AL2646" i="2"/>
  <c r="AL2638" i="2"/>
  <c r="AL2598" i="2"/>
  <c r="AL2590"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0" i="2"/>
  <c r="AL1718" i="2"/>
  <c r="AL1702" i="2"/>
  <c r="AL1686" i="2"/>
  <c r="AL1670" i="2"/>
  <c r="AL1654" i="2"/>
  <c r="AL1638" i="2"/>
  <c r="AL1628" i="2"/>
  <c r="AL1622" i="2"/>
  <c r="AL1616" i="2"/>
  <c r="AL1606" i="2"/>
  <c r="AL1564" i="2"/>
  <c r="AL1543" i="2"/>
  <c r="AL1502" i="2"/>
  <c r="AL1743" i="2"/>
  <c r="AL1735" i="2"/>
  <c r="AL1727" i="2"/>
  <c r="AL1719" i="2"/>
  <c r="AL1703" i="2"/>
  <c r="AL1695" i="2"/>
  <c r="AL1679"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04" i="2"/>
  <c r="AL1597" i="2"/>
  <c r="AL1582" i="2"/>
  <c r="AL1575" i="2"/>
  <c r="AL1568" i="2"/>
  <c r="AL1549" i="2"/>
  <c r="AL1542" i="2"/>
  <c r="AL1517" i="2"/>
  <c r="AL1510" i="2"/>
  <c r="AL1477" i="2"/>
  <c r="AL1468" i="2"/>
  <c r="AL1403" i="2"/>
  <c r="AL1402" i="2"/>
  <c r="AL1372" i="2"/>
  <c r="AL1345" i="2"/>
  <c r="AL1738" i="2"/>
  <c r="AL1730" i="2"/>
  <c r="AL1722" i="2"/>
  <c r="AL1714" i="2"/>
  <c r="AL1698" i="2"/>
  <c r="AL1690"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4" i="2"/>
  <c r="AM14" i="2"/>
  <c r="AL12" i="2"/>
  <c r="AM12" i="2" s="1"/>
  <c r="AL4512" i="2"/>
  <c r="AL4351" i="2"/>
  <c r="AL4509" i="2"/>
  <c r="AL4665" i="2"/>
  <c r="AL4329" i="2"/>
  <c r="AL4268" i="2"/>
  <c r="AL4200" i="2"/>
  <c r="AL4149" i="2"/>
  <c r="AL4136" i="2"/>
  <c r="AL4092" i="2"/>
  <c r="AL4085" i="2"/>
  <c r="AL4062" i="2"/>
  <c r="AL4395" i="2"/>
  <c r="AL4337" i="2"/>
  <c r="AL4333" i="2"/>
  <c r="AL4293" i="2"/>
  <c r="AL4368" i="2"/>
  <c r="AL4331" i="2"/>
  <c r="AL4308" i="2"/>
  <c r="AL4291" i="2"/>
  <c r="AL4263" i="2"/>
  <c r="AL4239" i="2"/>
  <c r="AL4235" i="2"/>
  <c r="AL4197" i="2"/>
  <c r="AL4184" i="2"/>
  <c r="AL4175" i="2"/>
  <c r="AL4140" i="2"/>
  <c r="AL4133" i="2"/>
  <c r="AL4120" i="2"/>
  <c r="AL4107" i="2"/>
  <c r="AL4076" i="2"/>
  <c r="AL4069" i="2"/>
  <c r="AL4064" i="2"/>
  <c r="AL4032" i="2"/>
  <c r="AL4012" i="2"/>
  <c r="AL3996" i="2"/>
  <c r="AL3980" i="2"/>
  <c r="AL4353" i="2"/>
  <c r="AL4339" i="2"/>
  <c r="AL4312" i="2"/>
  <c r="AL4201" i="2"/>
  <c r="AL4144" i="2"/>
  <c r="AL4137" i="2"/>
  <c r="AL4080" i="2"/>
  <c r="AL4060" i="2"/>
  <c r="AL4049" i="2"/>
  <c r="AL4028" i="2"/>
  <c r="AL4417" i="2"/>
  <c r="AL4392" i="2"/>
  <c r="AL4357" i="2"/>
  <c r="AL4299" i="2"/>
  <c r="AL4245" i="2"/>
  <c r="AL4232"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336"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46" i="2"/>
  <c r="AL3742" i="2"/>
  <c r="AL3724" i="2"/>
  <c r="AL3708" i="2"/>
  <c r="AL3663"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82" i="2"/>
  <c r="AL5189"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11"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151" i="2"/>
  <c r="AL4135" i="2"/>
  <c r="AL3862" i="2"/>
  <c r="AL4126" i="2"/>
  <c r="AL4455" i="2"/>
  <c r="AL4335" i="2"/>
  <c r="AL4326" i="2"/>
  <c r="AL4436" i="2"/>
  <c r="AL4226" i="2"/>
  <c r="AL4193" i="2"/>
  <c r="AL4158" i="2"/>
  <c r="AL4130" i="2"/>
  <c r="AL3812" i="2"/>
  <c r="AL3777" i="2"/>
  <c r="AL4314" i="2"/>
  <c r="AL4310" i="2"/>
  <c r="AL4266" i="2"/>
  <c r="AL4118" i="2"/>
  <c r="AL4077" i="2"/>
  <c r="AL3973" i="2"/>
  <c r="AL4282" i="2"/>
  <c r="AL4267" i="2"/>
  <c r="AL4242" i="2"/>
  <c r="AL3940" i="2"/>
  <c r="AL3844" i="2"/>
  <c r="AL4300" i="2"/>
  <c r="AL4287" i="2"/>
  <c r="AL4283" i="2"/>
  <c r="AL4251" i="2"/>
  <c r="AL4224" i="2"/>
  <c r="AL4211" i="2"/>
  <c r="AL3959" i="2"/>
  <c r="AL3782" i="2"/>
  <c r="AL3319"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86" i="2"/>
  <c r="AL4752" i="2"/>
  <c r="AL4489" i="2"/>
  <c r="AL4324" i="2"/>
  <c r="AL4278" i="2"/>
  <c r="AL4141" i="2"/>
  <c r="AL4908" i="2"/>
  <c r="AL4900" i="2"/>
  <c r="AL4816" i="2"/>
  <c r="AL4813" i="2"/>
  <c r="AL4599" i="2"/>
  <c r="AL4459" i="2"/>
  <c r="AL4433" i="2"/>
  <c r="AL4303" i="2"/>
  <c r="AL3843" i="2"/>
  <c r="AL4824" i="2"/>
  <c r="AL4654" i="2"/>
  <c r="AL4528" i="2"/>
  <c r="AL4501" i="2"/>
  <c r="AL4493" i="2"/>
  <c r="AL4960" i="2"/>
  <c r="AL4581" i="2"/>
  <c r="AL4494" i="2"/>
  <c r="AL4478" i="2"/>
  <c r="AL4454" i="2"/>
  <c r="AL4431" i="2"/>
  <c r="AL4345" i="2"/>
  <c r="AL4338" i="2"/>
  <c r="AL3986" i="2"/>
  <c r="AL4804" i="2"/>
  <c r="AL4981" i="2"/>
  <c r="AL4938" i="2"/>
  <c r="AL4736" i="2"/>
  <c r="AL4571" i="2"/>
  <c r="AL4549" i="2"/>
  <c r="AL4461" i="2"/>
  <c r="AL4439" i="2"/>
  <c r="AL4365" i="2"/>
  <c r="AL4262" i="2"/>
  <c r="AL4166" i="2"/>
  <c r="AL4142" i="2"/>
  <c r="AL3824" i="2"/>
  <c r="AL3659" i="2"/>
  <c r="AL4386" i="2"/>
  <c r="AL4359" i="2"/>
  <c r="AL4342" i="2"/>
  <c r="AL4241" i="2"/>
  <c r="AL4238" i="2"/>
  <c r="AL4094" i="2"/>
  <c r="AL3855" i="2"/>
  <c r="AL3808" i="2"/>
  <c r="AL4428" i="2"/>
  <c r="AL4029" i="2"/>
  <c r="AL3887" i="2"/>
  <c r="AL3736" i="2"/>
  <c r="AL4261" i="2"/>
  <c r="AL4091" i="2"/>
  <c r="AL4044" i="2"/>
  <c r="AL3991" i="2"/>
  <c r="AL3904" i="2"/>
  <c r="AL3869" i="2"/>
  <c r="AL4327" i="2"/>
  <c r="AL4202" i="2"/>
  <c r="AL4106" i="2"/>
  <c r="AL4098" i="2"/>
  <c r="AL3944" i="2"/>
  <c r="AL4410" i="2"/>
  <c r="AL4374" i="2"/>
  <c r="AL4348" i="2"/>
  <c r="AL4344" i="2"/>
  <c r="AL4317" i="2"/>
  <c r="AL4206" i="2"/>
  <c r="AL4189" i="2"/>
  <c r="AL4150" i="2"/>
  <c r="AL4127"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85" i="2"/>
  <c r="AL4264" i="2"/>
  <c r="AL4173" i="2"/>
  <c r="AL4123" i="2"/>
  <c r="AL4089" i="2"/>
  <c r="AL4056" i="2"/>
  <c r="AL4045" i="2"/>
  <c r="AL4009" i="2"/>
  <c r="AL3987"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174" i="2"/>
  <c r="AL4138" i="2"/>
  <c r="AL4082"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591" i="2"/>
  <c r="AL4332" i="2"/>
  <c r="AL4636" i="2"/>
  <c r="AL4518" i="2"/>
  <c r="AL4979" i="2"/>
  <c r="AL4837" i="2"/>
  <c r="AL4835" i="2"/>
  <c r="AL4533" i="2"/>
  <c r="AL4487" i="2"/>
  <c r="AL4453" i="2"/>
  <c r="AL4334" i="2"/>
  <c r="AL4233" i="2"/>
  <c r="AL4670" i="2"/>
  <c r="AL4802" i="2"/>
  <c r="AL4688" i="2"/>
  <c r="AL4516" i="2"/>
  <c r="AL4445" i="2"/>
  <c r="AL4443" i="2"/>
  <c r="AL4253" i="2"/>
  <c r="AL4171" i="2"/>
  <c r="AL4154" i="2"/>
  <c r="AL4132" i="2"/>
  <c r="AL4093" i="2"/>
  <c r="AL3985" i="2"/>
  <c r="AL3975" i="2"/>
  <c r="AL3839" i="2"/>
  <c r="AL3802" i="2"/>
  <c r="AL3524" i="2"/>
  <c r="AL3478" i="2"/>
  <c r="AL3416" i="2"/>
  <c r="AL4177" i="2"/>
  <c r="AL4168" i="2"/>
  <c r="AL4155" i="2"/>
  <c r="AL4090" i="2"/>
  <c r="AL3938" i="2"/>
  <c r="AL3886" i="2"/>
  <c r="AL4161" i="2"/>
  <c r="AL4024" i="2"/>
  <c r="AL3912" i="2"/>
  <c r="AL3833" i="2"/>
  <c r="AL3826" i="2"/>
  <c r="AL3715"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c r="AL4955" i="2"/>
  <c r="AL4936" i="2"/>
  <c r="AL4797" i="2"/>
  <c r="AL4597" i="2"/>
  <c r="AL4890" i="2"/>
  <c r="AL4858" i="2"/>
  <c r="AL4704" i="2"/>
  <c r="AL4664" i="2"/>
  <c r="AL4579" i="2"/>
  <c r="AL4973" i="2"/>
  <c r="AL4895" i="2"/>
  <c r="AL4892" i="2"/>
  <c r="AL4385" i="2"/>
  <c r="AL4298" i="2"/>
  <c r="AL4143" i="2"/>
  <c r="AL4083"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3957" i="2"/>
  <c r="AL4379" i="2"/>
  <c r="AL4319" i="2"/>
  <c r="AL4315" i="2"/>
  <c r="AL4277" i="2"/>
  <c r="AL4196" i="2"/>
  <c r="AL4074" i="2"/>
  <c r="AL3981" i="2"/>
  <c r="AL3888" i="2"/>
  <c r="AL3881" i="2"/>
  <c r="AL4496" i="2"/>
  <c r="AL4481" i="2"/>
  <c r="AL4456" i="2"/>
  <c r="AL4146" i="2"/>
  <c r="AL3321" i="2"/>
  <c r="AL3114" i="2"/>
  <c r="AL2915" i="2"/>
  <c r="AL2899" i="2"/>
  <c r="AL3513"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778" i="2"/>
  <c r="AL4677" i="2"/>
  <c r="AL4992" i="2"/>
  <c r="AL4989" i="2"/>
  <c r="AL4856" i="2"/>
  <c r="AL4840" i="2"/>
  <c r="AL4771" i="2"/>
  <c r="AL4733" i="2"/>
  <c r="AL4556" i="2"/>
  <c r="AL4537" i="2"/>
  <c r="AL4515" i="2"/>
  <c r="AL4985" i="2"/>
  <c r="AL4958" i="2"/>
  <c r="AL4948" i="2"/>
  <c r="AL4926" i="2"/>
  <c r="AL4903" i="2"/>
  <c r="AL4896" i="2"/>
  <c r="AL4874" i="2"/>
  <c r="AL4871" i="2"/>
  <c r="AL4836" i="2"/>
  <c r="AL4821" i="2"/>
  <c r="AL4817" i="2"/>
  <c r="AL4799" i="2"/>
  <c r="AL4730" i="2"/>
  <c r="AL4647" i="2"/>
  <c r="AL4588" i="2"/>
  <c r="AL4951" i="2"/>
  <c r="AL4937" i="2"/>
  <c r="AL4923" i="2"/>
  <c r="AL4811" i="2"/>
  <c r="AL4806" i="2"/>
  <c r="AL4723" i="2"/>
  <c r="AL4675" i="2"/>
  <c r="AL4604" i="2"/>
  <c r="AL4550" i="2"/>
  <c r="AL4506" i="2"/>
  <c r="AL4452" i="2"/>
  <c r="AL4969" i="2"/>
  <c r="AL4894" i="2"/>
  <c r="AL4956" i="2"/>
  <c r="AL4904" i="2"/>
  <c r="AL4884" i="2"/>
  <c r="AL4794" i="2"/>
  <c r="AL4635" i="2"/>
  <c r="AL4580" i="2"/>
  <c r="AL4574" i="2"/>
  <c r="AL4548" i="2"/>
  <c r="AL4522" i="2"/>
  <c r="AL4953" i="2"/>
  <c r="AL4935" i="2"/>
  <c r="AL4925" i="2"/>
  <c r="AL4921" i="2"/>
  <c r="AL4905" i="2"/>
  <c r="AL4848" i="2"/>
  <c r="AL4770" i="2"/>
  <c r="AL4689" i="2"/>
  <c r="AL4645" i="2"/>
  <c r="AL4619" i="2"/>
  <c r="AL4586" i="2"/>
  <c r="AL4555" i="2"/>
  <c r="AL4650" i="2"/>
  <c r="AL4576" i="2"/>
  <c r="AL4572" i="2"/>
  <c r="AL4554" i="2"/>
  <c r="AL4404" i="2"/>
  <c r="AL4394" i="2"/>
  <c r="AL4375" i="2"/>
  <c r="AL4254" i="2"/>
  <c r="AL4526" i="2"/>
  <c r="AL4370" i="2"/>
  <c r="AL4671" i="2"/>
  <c r="AL4446" i="2"/>
  <c r="AL4419" i="2"/>
  <c r="AL4382" i="2"/>
  <c r="AL4367" i="2"/>
  <c r="AL4362" i="2"/>
  <c r="AL4236" i="2"/>
  <c r="AL4125" i="2"/>
  <c r="AL4643" i="2"/>
  <c r="AL4552" i="2"/>
  <c r="AL4442" i="2"/>
  <c r="AL4427" i="2"/>
  <c r="AL4416" i="2"/>
  <c r="AL4413" i="2"/>
  <c r="AL4288" i="2"/>
  <c r="AL4566" i="2"/>
  <c r="AL4504" i="2"/>
  <c r="AL4679" i="2"/>
  <c r="AL4592" i="2"/>
  <c r="AL4100" i="2"/>
  <c r="AL4479" i="2"/>
  <c r="AL4414" i="2"/>
  <c r="AL4411" i="2"/>
  <c r="AL4400" i="2"/>
  <c r="AL4381" i="2"/>
  <c r="AL4325" i="2"/>
  <c r="AL4302" i="2"/>
  <c r="AL4290" i="2"/>
  <c r="AL4210" i="2"/>
  <c r="AL4178" i="2"/>
  <c r="AL4112" i="2"/>
  <c r="AL4246" i="2"/>
  <c r="AL4079" i="2"/>
  <c r="AL4292" i="2"/>
  <c r="AL4276" i="2"/>
  <c r="AL4087" i="2"/>
  <c r="AL3963" i="2"/>
  <c r="AL3939" i="2"/>
  <c r="AL3853" i="2"/>
  <c r="AL3762" i="2"/>
  <c r="AL3680" i="2"/>
  <c r="AL4358" i="2"/>
  <c r="AL4220" i="2"/>
  <c r="AL4066" i="2"/>
  <c r="AL3851" i="2"/>
  <c r="AL3661" i="2"/>
  <c r="AL3333" i="2"/>
  <c r="AL4350" i="2"/>
  <c r="AL4070" i="2"/>
  <c r="AL3971" i="2"/>
  <c r="AL3834" i="2"/>
  <c r="AL3763" i="2"/>
  <c r="AL3729" i="2"/>
  <c r="AL3538" i="2"/>
  <c r="AL4248"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M15" i="2" s="1"/>
  <c r="AL13" i="2"/>
  <c r="AM13" i="2" s="1"/>
  <c r="AL11" i="2"/>
  <c r="AM11" i="2" s="1"/>
  <c r="AL9" i="2"/>
  <c r="AM9" i="2" s="1"/>
  <c r="AL7" i="2"/>
  <c r="AM7" i="2" s="1"/>
  <c r="AL4970" i="2"/>
  <c r="AL4777" i="2"/>
  <c r="AL4852" i="2"/>
  <c r="AL4972" i="2"/>
  <c r="AL4918" i="2"/>
  <c r="AL4851" i="2"/>
  <c r="AL4831" i="2"/>
  <c r="AL4812" i="2"/>
  <c r="AL4760" i="2"/>
  <c r="AL4754" i="2"/>
  <c r="AL4717" i="2"/>
  <c r="AL4692" i="2"/>
  <c r="AL4662" i="2"/>
  <c r="AL4631" i="2"/>
  <c r="AL4585" i="2"/>
  <c r="AL4322" i="2"/>
  <c r="AL4320" i="2"/>
  <c r="AL4998" i="2"/>
  <c r="AL4984" i="2"/>
  <c r="AL4941" i="2"/>
  <c r="AL4928" i="2"/>
  <c r="AL4901" i="2"/>
  <c r="AL4795" i="2"/>
  <c r="AL4725" i="2"/>
  <c r="AL4690" i="2"/>
  <c r="AL4681" i="2"/>
  <c r="AL4561" i="2"/>
  <c r="AL4513" i="2"/>
  <c r="AL4505" i="2"/>
  <c r="AL4468" i="2"/>
  <c r="AL4403" i="2"/>
  <c r="AL4311" i="2"/>
  <c r="AL4269" i="2"/>
  <c r="AL3493" i="2"/>
  <c r="AL4845" i="2"/>
  <c r="AL4932" i="2"/>
  <c r="AL4891" i="2"/>
  <c r="AL4868" i="2"/>
  <c r="AL4805" i="2"/>
  <c r="AL4699" i="2"/>
  <c r="AL4801" i="2"/>
  <c r="AL4842" i="2"/>
  <c r="AL4782" i="2"/>
  <c r="AL4745" i="2"/>
  <c r="AL4714" i="2"/>
  <c r="AL4712" i="2"/>
  <c r="AL4661" i="2"/>
  <c r="AL4626" i="2"/>
  <c r="AL4596" i="2"/>
  <c r="AL4584" i="2"/>
  <c r="AL4531" i="2"/>
  <c r="AL4490" i="2"/>
  <c r="AL4484" i="2"/>
  <c r="AL4476" i="2"/>
  <c r="AL4444" i="2"/>
  <c r="AL4407" i="2"/>
  <c r="AL4354" i="2"/>
  <c r="AL4844" i="2"/>
  <c r="AL4834" i="2"/>
  <c r="AL4826" i="2"/>
  <c r="AL4788" i="2"/>
  <c r="AL4737" i="2"/>
  <c r="AL4683" i="2"/>
  <c r="AL4616" i="2"/>
  <c r="AL4544" i="2"/>
  <c r="AL4502" i="2"/>
  <c r="AL4435" i="2"/>
  <c r="AL4424" i="2"/>
  <c r="AL4420" i="2"/>
  <c r="AL4306" i="2"/>
  <c r="AL3892" i="2"/>
  <c r="AL3835" i="2"/>
  <c r="AL4971" i="2"/>
  <c r="AL4963" i="2"/>
  <c r="AL4880" i="2"/>
  <c r="AL4876" i="2"/>
  <c r="AL4854" i="2"/>
  <c r="AL4822" i="2"/>
  <c r="AL4790" i="2"/>
  <c r="AL4784" i="2"/>
  <c r="AL4761" i="2"/>
  <c r="AL4701" i="2"/>
  <c r="AL4685" i="2"/>
  <c r="AL4669" i="2"/>
  <c r="AL4651" i="2"/>
  <c r="AL4634" i="2"/>
  <c r="AL4606" i="2"/>
  <c r="AL4598" i="2"/>
  <c r="AL4546" i="2"/>
  <c r="AL4492" i="2"/>
  <c r="AL4426" i="2"/>
  <c r="AL4347" i="2"/>
  <c r="AL4983" i="2"/>
  <c r="AL4965" i="2"/>
  <c r="AL4907" i="2"/>
  <c r="AL4769" i="2"/>
  <c r="AL4767" i="2"/>
  <c r="AL4732" i="2"/>
  <c r="AL4707" i="2"/>
  <c r="AL4628" i="2"/>
  <c r="AL4467" i="2"/>
  <c r="AL4465" i="2"/>
  <c r="AL4402" i="2"/>
  <c r="AL4364" i="2"/>
  <c r="AL3721" i="2"/>
  <c r="AL3630" i="2"/>
  <c r="AL4991" i="2"/>
  <c r="AL4946" i="2"/>
  <c r="AL4888" i="2"/>
  <c r="AL4882" i="2"/>
  <c r="AL4815" i="2"/>
  <c r="AL4660" i="2"/>
  <c r="AL4570" i="2"/>
  <c r="AL4562" i="2"/>
  <c r="AL4982" i="2"/>
  <c r="AL4898" i="2"/>
  <c r="AL4867" i="2"/>
  <c r="AL4715" i="2"/>
  <c r="AL4709" i="2"/>
  <c r="AL4693" i="2"/>
  <c r="AL4646" i="2"/>
  <c r="AL4642" i="2"/>
  <c r="AL4564" i="2"/>
  <c r="AL4460" i="2"/>
  <c r="AL4406" i="2"/>
  <c r="AL4295" i="2"/>
  <c r="AL4270" i="2"/>
  <c r="AL4990" i="2"/>
  <c r="AL4954" i="2"/>
  <c r="AL4950" i="2"/>
  <c r="AL4869" i="2"/>
  <c r="AL4865" i="2"/>
  <c r="AL4833" i="2"/>
  <c r="AL4781" i="2"/>
  <c r="AL4742" i="2"/>
  <c r="AL4713" i="2"/>
  <c r="AL4700" i="2"/>
  <c r="AL4640" i="2"/>
  <c r="AL4593" i="2"/>
  <c r="AL4511" i="2"/>
  <c r="AL4491" i="2"/>
  <c r="AL4475" i="2"/>
  <c r="AL4471" i="2"/>
  <c r="AL4438" i="2"/>
  <c r="AL4361" i="2"/>
  <c r="AL4962" i="2"/>
  <c r="AL4810" i="2"/>
  <c r="AL4625" i="2"/>
  <c r="AL4603" i="2"/>
  <c r="AL4462" i="2"/>
  <c r="AL4423" i="2"/>
  <c r="AL4380" i="2"/>
  <c r="AL4376" i="2"/>
  <c r="AL4372" i="2"/>
  <c r="AL4046" i="2"/>
  <c r="AL3760" i="2"/>
  <c r="AL3327" i="2"/>
  <c r="AL4258" i="2"/>
  <c r="AL4256" i="2"/>
  <c r="AL4190" i="2"/>
  <c r="AL4170" i="2"/>
  <c r="AL4162" i="2"/>
  <c r="AL3915" i="2"/>
  <c r="AL3899" i="2"/>
  <c r="AL3774" i="2"/>
  <c r="AL3743" i="2"/>
  <c r="AL3710" i="2"/>
  <c r="AL3672" i="2"/>
  <c r="AL3521" i="2"/>
  <c r="AL4114" i="2"/>
  <c r="AL3993" i="2"/>
  <c r="AL3757" i="2"/>
  <c r="AL4052" i="2"/>
  <c r="AL3856" i="2"/>
  <c r="AL4213" i="2"/>
  <c r="AL4147" i="2"/>
  <c r="AL4145" i="2"/>
  <c r="AL4097" i="2"/>
  <c r="AL4081" i="2"/>
  <c r="AL3976" i="2"/>
  <c r="AL3956" i="2"/>
  <c r="AL3771" i="2"/>
  <c r="AL3552" i="2"/>
  <c r="AL3481" i="2"/>
  <c r="AL4244" i="2"/>
  <c r="AL4222" i="2"/>
  <c r="AL4156" i="2"/>
  <c r="AL4101" i="2"/>
  <c r="AL4111" i="2"/>
  <c r="AL3827" i="2"/>
  <c r="AL3465" i="2"/>
  <c r="AL3289" i="2"/>
  <c r="AL4204" i="2"/>
  <c r="AL4122" i="2"/>
  <c r="AL4075" i="2"/>
  <c r="AL3955" i="2"/>
  <c r="AL3883" i="2"/>
  <c r="AL3741" i="2"/>
  <c r="AL3728" i="2"/>
  <c r="AL3330" i="2"/>
  <c r="AL3385" i="2"/>
  <c r="AL3253" i="2"/>
  <c r="AL3123" i="2"/>
  <c r="AL2923" i="2"/>
  <c r="AL2851" i="2"/>
  <c r="AL3480" i="2"/>
  <c r="AL3468" i="2"/>
  <c r="AL3328" i="2"/>
  <c r="AL3300" i="2"/>
  <c r="AL3099" i="2"/>
  <c r="AL2759" i="2"/>
  <c r="AL2939" i="2"/>
  <c r="AL2673" i="2"/>
  <c r="AL3310" i="2"/>
  <c r="AL2637" i="2"/>
  <c r="AL3497" i="2"/>
  <c r="AL3382" i="2"/>
  <c r="AL3499" i="2"/>
  <c r="AL3344" i="2"/>
  <c r="AL3285" i="2"/>
  <c r="AL2630" i="2"/>
  <c r="AL2608" i="2"/>
  <c r="AL2689" i="2"/>
  <c r="AL2384" i="2"/>
  <c r="AL2353" i="2"/>
  <c r="AL2584" i="2"/>
  <c r="AL2571" i="2"/>
  <c r="AL2605" i="2"/>
  <c r="AL2430" i="2"/>
  <c r="AL2357" i="2"/>
  <c r="AL2263" i="2"/>
  <c r="AL2224" i="2"/>
  <c r="AL2216" i="2"/>
  <c r="AL2204" i="2"/>
  <c r="AL2606" i="2"/>
  <c r="AL2448" i="2"/>
  <c r="AL2454" i="2"/>
  <c r="AL2015" i="2"/>
  <c r="AL2091" i="2"/>
  <c r="AL2066" i="2"/>
  <c r="AL2149" i="2"/>
  <c r="AL1343" i="2"/>
  <c r="AL1001" i="2"/>
  <c r="AL1486" i="2"/>
  <c r="AL1111" i="2"/>
  <c r="AL1093" i="2"/>
  <c r="AL1135" i="2"/>
  <c r="AL1308" i="2"/>
  <c r="AL1103" i="2"/>
  <c r="AL983" i="2"/>
  <c r="AL1224" i="2"/>
  <c r="AL597" i="2"/>
  <c r="AL5057" i="2"/>
  <c r="AL445" i="2"/>
  <c r="AL169" i="2"/>
  <c r="AL292"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<sst xmlns="http://schemas.openxmlformats.org/spreadsheetml/2006/main" count="266" uniqueCount="144">
  <si>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</si>
  <si>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</si>
  <si>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</si>
  <si>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</si>
  <si>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</si>
  <si>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</si>
  <si>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</si>
  <si>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</si>
  <si>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</si>
  <si>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</si>
  <si>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</si>
  <si>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</si>
  <si>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</si>
  <si>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</si>
  <si>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</si>
  <si>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</si>
  <si>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</si>
  <si>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</si>
  <si>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</si>
  <si>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</si>
  <si>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</si>
  <si>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</si>
  <si>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</si>
  <si>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</si>
  <si>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</si>
  <si>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</si>
  <si>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</si>
  <si>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</si>
  <si>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</si>
  <si>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</si>
  <si>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</si>
  <si>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</si>
  <si>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</si>
  <si>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</si>
  <si>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</si>
  <si>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</si>
  <si>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</si>
  <si>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</si>
  <si>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</si>
  <si>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</si>
  <si>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</si>
  <si>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</si>
  <si>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</si>
  <si>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</si>
  <si>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</si>
  <si>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</si>
  <si>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</si>
  <si>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</si>
  <si>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</si>
  <si>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</si>
  <si>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</si>
  <si>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</si>
  <si>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</si>
  <si>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</si>
  <si>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</si>
  <si>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</si>
  <si>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</si>
  <si>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</si>
  <si>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</si>
  <si>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</si>
  <si>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</si>
  <si>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</si>
  <si>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</si>
  <si>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</si>
  <si>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</si>
  <si>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</si>
  <si>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</si>
  <si>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</si>
  <si>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</si>
  <si>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</si>
  <si>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</si>
  <si>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</si>
  <si>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</si>
  <si>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</si>
  <si>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</si>
  <si>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</si>
  <si>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</si>
  <si>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</si>
  <si>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</si>
  <si>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</si>
  <si>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</si>
  <si>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</si>
  <si>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</si>
  <si>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</si>
  <si>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</si>
  <si>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</si>
  <si>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</si>
  <si>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</si>
  <si>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</si>
  <si>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</si>
  <si>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</si>
  <si>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</si>
  <si>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</si>
  <si>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Lodgepole Creek</t>
  </si>
  <si>
    <t>Harvey FSR</t>
  </si>
  <si>
    <t>Closed Bottom Structure</t>
  </si>
  <si>
    <t>Round Culvert</t>
  </si>
  <si>
    <t>No</t>
  </si>
  <si>
    <t>Yes</t>
  </si>
  <si>
    <t>Deep Fill</t>
  </si>
  <si>
    <t>Medium</t>
  </si>
  <si>
    <t>Small stream with good flow.  Abundant gravels just upstream with gradients increasing to 6-7% near 540m upstream of culvert where large (~30m high) waterfall is located. 10:18</t>
  </si>
  <si>
    <t xml:space="preserve">Lodgepole Creek </t>
  </si>
  <si>
    <t>Two pipes (1m each) but one blocked with debris.  Because height of outlets equivalent widths were added together for input to stream width ratio.   Large beaver dams upstream between culvert and Lodgepole Lake. 15:37</t>
  </si>
  <si>
    <t>Tributary to Bean Creek</t>
  </si>
  <si>
    <t>Lodgepole FSR</t>
  </si>
  <si>
    <t>Low</t>
  </si>
  <si>
    <t>Large channel but stream is completely dry. 12:11</t>
  </si>
  <si>
    <t>AI</t>
  </si>
  <si>
    <t>Tributary to Lodgepole Creek</t>
  </si>
  <si>
    <t>Spur</t>
  </si>
  <si>
    <t>Gated access management area.  Falls located ~60m upstream of the crossing. 15:45</t>
  </si>
  <si>
    <t>Kisoo Creek</t>
  </si>
  <si>
    <t>Culvert unravelling at downstream end.  Seperating in multiple areas. 0.5m inlet drop. 10:25</t>
  </si>
  <si>
    <t>AI BK SS</t>
  </si>
  <si>
    <t>Tributary to Lizard Creek</t>
  </si>
  <si>
    <t>Mt. Fernie Park Road</t>
  </si>
  <si>
    <t>KP</t>
  </si>
  <si>
    <t>Dry Creek</t>
  </si>
  <si>
    <t>Fording Highway</t>
  </si>
  <si>
    <t>Very close to Lizard Creek mainstem.  10:43</t>
  </si>
  <si>
    <t>Fuel Creek</t>
  </si>
  <si>
    <t>Morris Creek</t>
  </si>
  <si>
    <t>Flathead FSR</t>
  </si>
  <si>
    <t>Parker Creek</t>
  </si>
  <si>
    <t>High</t>
  </si>
  <si>
    <t>This is the downstream end of the remnant Parker Creek channel.  Crossing 4606967 is not present on the FSR and the channel appears to have been redirected back towards the Flathead River.  Stream appears to flow over the road in the spring with significant maintenance efforts required to maintain the road.  Aerial survey and habitat confirmation conducted.  14:40</t>
  </si>
  <si>
    <t>Two pipes (1.8m x 2m).  Stream left pipe embedd at outlet 0.6m but not at inlet and there is a significant inlet drop. PSCIS crossing 62182 is located ~30m upstream of the crossing under the railway. 12:50</t>
  </si>
  <si>
    <t>Two culverts (0.9 x 1.2m).  0.9m culvert is substantially lower in elevation and very near to being completely blocked by substrate. Lower culvert slope measured at 2%. Larger, higher culvert was 14.5 m long, unembedded with slope measured at 3%. 10:01</t>
  </si>
  <si>
    <t>Significant damage to inlet.  Old wter intake running through culvert and ending near outlet.  Good flow through pipe. 10:00</t>
  </si>
  <si>
    <t>Tributary to Bighorn Creek</t>
  </si>
  <si>
    <t>Cabin FSR</t>
  </si>
  <si>
    <t>Cobble substrate and abundant overhanging vegetation.  Decent sized stream. 13:24</t>
  </si>
  <si>
    <t>Coal Creek</t>
  </si>
  <si>
    <t>Coal Creek FSR</t>
  </si>
  <si>
    <t>Open Bottom Structure</t>
  </si>
  <si>
    <t>Bridge</t>
  </si>
  <si>
    <t>Habitat confirmation conducted due to debris in stream that causes small drop across stream (0.2 - 0.6m high) just downstream of the bridge. 9:20</t>
  </si>
  <si>
    <t>FLNR DRM 5466</t>
  </si>
  <si>
    <t>Unclassified</t>
  </si>
  <si>
    <t>Recreation</t>
  </si>
  <si>
    <t>Elkford Local</t>
  </si>
  <si>
    <t>FLNR DRM 0030</t>
  </si>
  <si>
    <t>Unknown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</si>
</sst>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7" sqref="A7:XFD7"/>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44406</v>
      </c>
      <c r="B5" s="112"/>
      <c r="C5" s="116">
        <v>4606398</v>
      </c>
      <c r="D5" s="116" t="s">
        <v>92</v>
      </c>
      <c r="E5" s="77">
        <v>11</v>
      </c>
      <c r="F5" s="53">
        <v>665796.07904683799</v>
      </c>
      <c r="G5" s="51">
        <v>5462151.5333950697</v>
      </c>
      <c r="H5" s="11" t="s">
        <v>93</v>
      </c>
      <c r="I5" s="11" t="s">
        <v>94</v>
      </c>
      <c r="J5" s="104"/>
      <c r="K5" s="11" t="s">
        <v>138</v>
      </c>
      <c r="L5" s="116" t="s">
        <v>95</v>
      </c>
      <c r="M5" s="116" t="s">
        <v>96</v>
      </c>
      <c r="N5" s="109">
        <v>1.2</v>
      </c>
      <c r="O5" s="109">
        <v>10</v>
      </c>
      <c r="P5" s="116" t="s">
        <v>97</v>
      </c>
      <c r="Q5" s="121"/>
      <c r="R5" s="116" t="s">
        <v>97</v>
      </c>
      <c r="S5" s="116" t="s">
        <v>97</v>
      </c>
      <c r="T5" s="121"/>
      <c r="U5" s="116">
        <v>0.1</v>
      </c>
      <c r="V5" s="116">
        <v>0</v>
      </c>
      <c r="W5" s="116">
        <v>0.1</v>
      </c>
      <c r="X5" s="116" t="s">
        <v>98</v>
      </c>
      <c r="Y5" s="116">
        <v>1.7</v>
      </c>
      <c r="Z5" s="116">
        <v>2</v>
      </c>
      <c r="AA5" s="116">
        <v>3.8</v>
      </c>
      <c r="AB5" s="115" t="s">
        <v>97</v>
      </c>
      <c r="AC5" s="115" t="s">
        <v>97</v>
      </c>
      <c r="AD5" s="116" t="s">
        <v>99</v>
      </c>
      <c r="AE5" s="116" t="s">
        <v>100</v>
      </c>
      <c r="AF5" s="22">
        <f>IF(ISBLANK(Z5), 0, IF(ISBLANK(N5) &lt; 0, 0,Z5 / N5))</f>
        <v>1.6666666666666667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12">
        <f>IF(AF5&lt;1,0,IF(AND(AF5&gt;=1,AF5&lt;1.3),3,IF(AF5&gt;=1.3,6,0)))</f>
        <v>6</v>
      </c>
      <c r="AL5" s="14">
        <f>AG5 + AH5 + AI5 + AJ5 + AK5</f>
        <v>21</v>
      </c>
      <c r="AM5" s="16" t="str">
        <f>IF(ISBLANK(L5), "", IF(L5 = "Open Bottom Structure", "Passable", IF(L5 = "Other", "Unknown", IF(AL5 &lt; 15, "Passable", IF(AND(AL5 &gt;= 15,AL5 &lt;= 19), "Potential", IF(AL5 &gt; 19, "Barrier", ""))))))</f>
        <v>Barrier</v>
      </c>
      <c r="AN5" s="116"/>
      <c r="AO5" s="116"/>
      <c r="AP5" s="103" t="s">
        <v>101</v>
      </c>
    </row>
    <row r="6" spans="1:42" s="13" customFormat="1" x14ac:dyDescent="0.25">
      <c r="A6" s="117">
        <v>44406</v>
      </c>
      <c r="B6" s="112"/>
      <c r="C6" s="116">
        <v>4606370</v>
      </c>
      <c r="D6" s="116" t="s">
        <v>92</v>
      </c>
      <c r="E6" s="77">
        <v>11</v>
      </c>
      <c r="F6" s="78">
        <v>664905.14723295497</v>
      </c>
      <c r="G6" s="79">
        <v>5462561.6500481497</v>
      </c>
      <c r="H6" s="116" t="s">
        <v>102</v>
      </c>
      <c r="I6" s="77" t="s">
        <v>94</v>
      </c>
      <c r="J6" s="104"/>
      <c r="K6" s="116" t="s">
        <v>138</v>
      </c>
      <c r="L6" s="116" t="s">
        <v>95</v>
      </c>
      <c r="M6" s="116" t="s">
        <v>96</v>
      </c>
      <c r="N6" s="109">
        <v>2</v>
      </c>
      <c r="O6" s="109">
        <v>1.8</v>
      </c>
      <c r="P6" s="116" t="s">
        <v>97</v>
      </c>
      <c r="Q6" s="121"/>
      <c r="R6" s="116" t="s">
        <v>97</v>
      </c>
      <c r="S6" s="116" t="s">
        <v>97</v>
      </c>
      <c r="T6" s="121"/>
      <c r="U6" s="116">
        <v>1.5</v>
      </c>
      <c r="V6" s="116">
        <v>0</v>
      </c>
      <c r="W6" s="116">
        <v>0.1</v>
      </c>
      <c r="X6" s="116" t="s">
        <v>98</v>
      </c>
      <c r="Y6" s="116">
        <v>0.5</v>
      </c>
      <c r="Z6" s="116">
        <v>3.26</v>
      </c>
      <c r="AA6" s="116">
        <v>2.8</v>
      </c>
      <c r="AB6" s="115" t="s">
        <v>98</v>
      </c>
      <c r="AC6" s="115" t="s">
        <v>98</v>
      </c>
      <c r="AD6" s="116" t="s">
        <v>99</v>
      </c>
      <c r="AE6" s="116" t="s">
        <v>100</v>
      </c>
      <c r="AF6" s="22">
        <f t="shared" ref="AF6:AF11" si="0">IF(ISBLANK(Z6), 0, IF(ISBLANK(N6) &lt; 0, 0,Z6 / N6))</f>
        <v>1.63</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12">
        <f t="shared" ref="AK6:AK67" si="5">IF(AF6&lt;1,0,IF(AND(AF6&gt;=1,AF6&lt;1.3),3,IF(AF6&gt;=1.3,6,0)))</f>
        <v>6</v>
      </c>
      <c r="AL6" s="14">
        <f t="shared" ref="AL6:AL11" si="6">AG6 + AH6 + AI6 + AJ6 + AK6</f>
        <v>16</v>
      </c>
      <c r="AM6" s="16" t="str">
        <f t="shared" ref="AM6:AM67" si="7">IF(ISBLANK(L6), "", IF(L6 = "Open Bottom Structure", "Passable", IF(L6 = "Other", "Unknown", IF(AL6 &lt; 15, "Passable", IF(AND(AL6 &gt;= 15,AL6 &lt;= 19), "Potential", IF(AL6 &gt; 19, "Barrier", ""))))))</f>
        <v>Potential</v>
      </c>
      <c r="AN6" s="116"/>
      <c r="AO6" s="116"/>
      <c r="AP6" s="103" t="s">
        <v>103</v>
      </c>
    </row>
    <row r="7" spans="1:42" s="13" customFormat="1" x14ac:dyDescent="0.25">
      <c r="A7" s="117">
        <v>44407</v>
      </c>
      <c r="B7" s="112"/>
      <c r="C7" s="116">
        <v>4606347</v>
      </c>
      <c r="D7" s="116" t="s">
        <v>92</v>
      </c>
      <c r="E7" s="77">
        <v>11</v>
      </c>
      <c r="F7" s="78">
        <v>650414.60798293003</v>
      </c>
      <c r="G7" s="79">
        <v>5463818.8277886296</v>
      </c>
      <c r="H7" s="116" t="s">
        <v>104</v>
      </c>
      <c r="I7" s="77" t="s">
        <v>105</v>
      </c>
      <c r="J7" s="104"/>
      <c r="K7" s="116" t="s">
        <v>138</v>
      </c>
      <c r="L7" s="116" t="s">
        <v>95</v>
      </c>
      <c r="M7" s="116" t="s">
        <v>96</v>
      </c>
      <c r="N7" s="114">
        <v>1.5</v>
      </c>
      <c r="O7" s="114">
        <v>14</v>
      </c>
      <c r="P7" s="116" t="s">
        <v>97</v>
      </c>
      <c r="Q7" s="121"/>
      <c r="R7" s="116" t="s">
        <v>97</v>
      </c>
      <c r="S7" s="116" t="s">
        <v>97</v>
      </c>
      <c r="T7" s="121"/>
      <c r="U7" s="116">
        <v>1</v>
      </c>
      <c r="V7" s="116">
        <v>0</v>
      </c>
      <c r="W7" s="116">
        <v>0.2</v>
      </c>
      <c r="X7" s="116" t="s">
        <v>97</v>
      </c>
      <c r="Y7" s="116">
        <v>2.5</v>
      </c>
      <c r="Z7" s="116">
        <v>5.3</v>
      </c>
      <c r="AA7" s="116">
        <v>2.7</v>
      </c>
      <c r="AB7" s="115" t="s">
        <v>97</v>
      </c>
      <c r="AC7" s="115" t="s">
        <v>97</v>
      </c>
      <c r="AD7" s="116" t="s">
        <v>99</v>
      </c>
      <c r="AE7" s="116" t="s">
        <v>106</v>
      </c>
      <c r="AF7" s="22">
        <f t="shared" si="0"/>
        <v>3.5333333333333332</v>
      </c>
      <c r="AG7" s="15">
        <f t="shared" si="1"/>
        <v>0</v>
      </c>
      <c r="AH7" s="7">
        <f t="shared" si="2"/>
        <v>10</v>
      </c>
      <c r="AI7" s="7">
        <f t="shared" si="3"/>
        <v>0</v>
      </c>
      <c r="AJ7" s="7">
        <f t="shared" si="4"/>
        <v>5</v>
      </c>
      <c r="AK7" s="12">
        <f t="shared" si="5"/>
        <v>6</v>
      </c>
      <c r="AL7" s="14">
        <f t="shared" si="6"/>
        <v>21</v>
      </c>
      <c r="AM7" s="16" t="str">
        <f t="shared" si="7"/>
        <v>Barrier</v>
      </c>
      <c r="AN7" s="116"/>
      <c r="AO7" s="116"/>
      <c r="AP7" s="116" t="s">
        <v>107</v>
      </c>
    </row>
    <row r="8" spans="1:42" s="13" customFormat="1" x14ac:dyDescent="0.25">
      <c r="A8" s="117">
        <v>44466</v>
      </c>
      <c r="B8" s="110"/>
      <c r="C8" s="116">
        <v>4601984</v>
      </c>
      <c r="D8" s="116" t="s">
        <v>108</v>
      </c>
      <c r="E8" s="77">
        <v>11</v>
      </c>
      <c r="F8" s="78">
        <v>654301.67654856504</v>
      </c>
      <c r="G8" s="79">
        <v>5458678.3538345201</v>
      </c>
      <c r="H8" s="116" t="s">
        <v>109</v>
      </c>
      <c r="I8" s="77" t="s">
        <v>110</v>
      </c>
      <c r="J8" s="105"/>
      <c r="K8" s="108" t="s">
        <v>139</v>
      </c>
      <c r="L8" s="116" t="s">
        <v>95</v>
      </c>
      <c r="M8" s="116" t="s">
        <v>96</v>
      </c>
      <c r="N8" s="114">
        <v>1.6</v>
      </c>
      <c r="O8" s="114">
        <v>14</v>
      </c>
      <c r="P8" s="116" t="s">
        <v>97</v>
      </c>
      <c r="Q8" s="121"/>
      <c r="R8" s="116" t="s">
        <v>97</v>
      </c>
      <c r="S8" s="116" t="s">
        <v>97</v>
      </c>
      <c r="T8" s="121"/>
      <c r="U8" s="116">
        <v>2</v>
      </c>
      <c r="V8" s="116">
        <v>0.6</v>
      </c>
      <c r="W8" s="116">
        <v>0.8</v>
      </c>
      <c r="X8" s="116" t="s">
        <v>98</v>
      </c>
      <c r="Y8" s="116">
        <v>5</v>
      </c>
      <c r="Z8" s="116">
        <v>3.8</v>
      </c>
      <c r="AA8" s="116">
        <v>8.5</v>
      </c>
      <c r="AB8" s="115" t="s">
        <v>97</v>
      </c>
      <c r="AC8" s="115" t="s">
        <v>97</v>
      </c>
      <c r="AD8" s="116" t="s">
        <v>99</v>
      </c>
      <c r="AE8" s="116" t="s">
        <v>106</v>
      </c>
      <c r="AF8" s="22">
        <f t="shared" si="0"/>
        <v>2.3749999999999996</v>
      </c>
      <c r="AG8" s="15">
        <f t="shared" si="1"/>
        <v>0</v>
      </c>
      <c r="AH8" s="7">
        <f t="shared" si="2"/>
        <v>10</v>
      </c>
      <c r="AI8" s="7">
        <f t="shared" si="3"/>
        <v>10</v>
      </c>
      <c r="AJ8" s="7">
        <f t="shared" si="4"/>
        <v>10</v>
      </c>
      <c r="AK8" s="12">
        <f t="shared" si="5"/>
        <v>6</v>
      </c>
      <c r="AL8" s="14">
        <f t="shared" si="6"/>
        <v>36</v>
      </c>
      <c r="AM8" s="16" t="str">
        <f t="shared" si="7"/>
        <v>Barrier</v>
      </c>
      <c r="AN8" s="116"/>
      <c r="AO8" s="116"/>
      <c r="AP8" s="116" t="s">
        <v>111</v>
      </c>
    </row>
    <row r="9" spans="1:42" x14ac:dyDescent="0.25">
      <c r="A9" s="117">
        <v>44469</v>
      </c>
      <c r="B9" s="111">
        <v>50063</v>
      </c>
      <c r="C9" s="116"/>
      <c r="D9" s="116" t="s">
        <v>108</v>
      </c>
      <c r="E9" s="77">
        <v>11</v>
      </c>
      <c r="F9" s="78">
        <v>668960.50356336997</v>
      </c>
      <c r="G9" s="79">
        <v>5458806.4039871097</v>
      </c>
      <c r="H9" s="103" t="s">
        <v>112</v>
      </c>
      <c r="I9" s="77" t="s">
        <v>94</v>
      </c>
      <c r="J9" s="104"/>
      <c r="K9" s="108" t="s">
        <v>138</v>
      </c>
      <c r="L9" s="116" t="s">
        <v>95</v>
      </c>
      <c r="M9" s="115" t="s">
        <v>96</v>
      </c>
      <c r="N9" s="113">
        <v>1.2</v>
      </c>
      <c r="O9" s="113">
        <v>45</v>
      </c>
      <c r="P9" s="116" t="s">
        <v>97</v>
      </c>
      <c r="Q9" s="121"/>
      <c r="R9" s="116" t="s">
        <v>97</v>
      </c>
      <c r="S9" s="116" t="s">
        <v>97</v>
      </c>
      <c r="T9" s="121"/>
      <c r="U9" s="116">
        <v>9.99</v>
      </c>
      <c r="V9" s="116">
        <v>0.65</v>
      </c>
      <c r="W9" s="116">
        <v>0.2</v>
      </c>
      <c r="X9" s="116" t="s">
        <v>98</v>
      </c>
      <c r="Y9" s="116">
        <v>5</v>
      </c>
      <c r="Z9" s="116">
        <v>2.8</v>
      </c>
      <c r="AA9" s="116">
        <v>9.1999999999999993</v>
      </c>
      <c r="AB9" s="115" t="s">
        <v>97</v>
      </c>
      <c r="AC9" s="115" t="s">
        <v>97</v>
      </c>
      <c r="AD9" s="116" t="s">
        <v>99</v>
      </c>
      <c r="AE9" s="116" t="s">
        <v>100</v>
      </c>
      <c r="AF9" s="22">
        <f t="shared" si="0"/>
        <v>2.3333333333333335</v>
      </c>
      <c r="AG9" s="15">
        <f t="shared" si="1"/>
        <v>6</v>
      </c>
      <c r="AH9" s="7">
        <f t="shared" si="2"/>
        <v>10</v>
      </c>
      <c r="AI9" s="7">
        <f t="shared" si="3"/>
        <v>10</v>
      </c>
      <c r="AJ9" s="7">
        <f t="shared" si="4"/>
        <v>10</v>
      </c>
      <c r="AK9" s="12">
        <f t="shared" si="5"/>
        <v>6</v>
      </c>
      <c r="AL9" s="14">
        <f t="shared" si="6"/>
        <v>42</v>
      </c>
      <c r="AM9" s="16" t="str">
        <f t="shared" si="7"/>
        <v>Barrier</v>
      </c>
      <c r="AN9" s="116"/>
      <c r="AO9" s="116"/>
      <c r="AP9" s="116" t="s">
        <v>113</v>
      </c>
    </row>
    <row r="10" spans="1:42" x14ac:dyDescent="0.25">
      <c r="A10" s="117">
        <v>44482</v>
      </c>
      <c r="B10" s="111">
        <v>62505</v>
      </c>
      <c r="C10" s="116"/>
      <c r="D10" s="116" t="s">
        <v>114</v>
      </c>
      <c r="E10" s="77">
        <v>11</v>
      </c>
      <c r="F10" s="78">
        <v>636941.86356810795</v>
      </c>
      <c r="G10" s="79">
        <v>5483777.3498547804</v>
      </c>
      <c r="H10" s="103" t="s">
        <v>115</v>
      </c>
      <c r="I10" s="77" t="s">
        <v>116</v>
      </c>
      <c r="J10" s="104"/>
      <c r="K10" s="116" t="s">
        <v>140</v>
      </c>
      <c r="L10" s="116" t="s">
        <v>95</v>
      </c>
      <c r="M10" s="116" t="s">
        <v>96</v>
      </c>
      <c r="N10" s="114">
        <v>0.9</v>
      </c>
      <c r="O10" s="114">
        <v>10</v>
      </c>
      <c r="P10" s="116" t="s">
        <v>97</v>
      </c>
      <c r="Q10" s="122"/>
      <c r="R10" s="116" t="s">
        <v>97</v>
      </c>
      <c r="S10" s="116" t="s">
        <v>97</v>
      </c>
      <c r="T10" s="122"/>
      <c r="U10" s="114">
        <v>0.3</v>
      </c>
      <c r="V10" s="116">
        <v>0.25</v>
      </c>
      <c r="W10" s="114">
        <v>0.45</v>
      </c>
      <c r="X10" s="116" t="s">
        <v>97</v>
      </c>
      <c r="Y10" s="114">
        <v>5</v>
      </c>
      <c r="Z10" s="114">
        <v>2.9</v>
      </c>
      <c r="AA10" s="116">
        <v>7.6</v>
      </c>
      <c r="AB10" s="116" t="s">
        <v>97</v>
      </c>
      <c r="AC10" s="116" t="s">
        <v>97</v>
      </c>
      <c r="AD10" s="116" t="s">
        <v>99</v>
      </c>
      <c r="AE10" s="116" t="s">
        <v>100</v>
      </c>
      <c r="AF10" s="22">
        <f t="shared" si="0"/>
        <v>3.2222222222222219</v>
      </c>
      <c r="AG10" s="15">
        <f t="shared" si="1"/>
        <v>0</v>
      </c>
      <c r="AH10" s="7">
        <f t="shared" si="2"/>
        <v>10</v>
      </c>
      <c r="AI10" s="7">
        <f t="shared" si="3"/>
        <v>5</v>
      </c>
      <c r="AJ10" s="7">
        <f t="shared" si="4"/>
        <v>10</v>
      </c>
      <c r="AK10" s="12">
        <f t="shared" si="5"/>
        <v>6</v>
      </c>
      <c r="AL10" s="14">
        <f t="shared" si="6"/>
        <v>31</v>
      </c>
      <c r="AM10" s="16" t="str">
        <f t="shared" si="7"/>
        <v>Barrier</v>
      </c>
      <c r="AN10" s="115"/>
      <c r="AO10" s="114"/>
      <c r="AP10" s="116" t="s">
        <v>120</v>
      </c>
    </row>
    <row r="11" spans="1:42" x14ac:dyDescent="0.25">
      <c r="A11" s="117">
        <v>44468</v>
      </c>
      <c r="B11" s="111">
        <v>62182</v>
      </c>
      <c r="C11" s="103"/>
      <c r="D11" s="115" t="s">
        <v>117</v>
      </c>
      <c r="E11" s="115">
        <v>11</v>
      </c>
      <c r="F11" s="107">
        <v>656390.04899583606</v>
      </c>
      <c r="G11" s="106">
        <v>5544771.0183467604</v>
      </c>
      <c r="H11" s="103" t="s">
        <v>118</v>
      </c>
      <c r="I11" s="77" t="s">
        <v>119</v>
      </c>
      <c r="J11" s="104"/>
      <c r="K11" s="115" t="s">
        <v>141</v>
      </c>
      <c r="L11" s="116" t="s">
        <v>95</v>
      </c>
      <c r="M11" s="116" t="s">
        <v>96</v>
      </c>
      <c r="N11" s="113">
        <v>1.8</v>
      </c>
      <c r="O11" s="113">
        <v>24.5</v>
      </c>
      <c r="P11" s="115" t="s">
        <v>97</v>
      </c>
      <c r="Q11" s="123"/>
      <c r="R11" s="115" t="s">
        <v>97</v>
      </c>
      <c r="S11" s="115" t="s">
        <v>97</v>
      </c>
      <c r="T11" s="123"/>
      <c r="U11" s="113">
        <v>1.8</v>
      </c>
      <c r="V11" s="115">
        <v>0</v>
      </c>
      <c r="W11" s="113">
        <v>0</v>
      </c>
      <c r="X11" s="115" t="s">
        <v>98</v>
      </c>
      <c r="Y11" s="113">
        <v>3.6</v>
      </c>
      <c r="Z11" s="113">
        <v>3.7</v>
      </c>
      <c r="AA11" s="115">
        <v>3.3</v>
      </c>
      <c r="AB11" s="115" t="s">
        <v>97</v>
      </c>
      <c r="AC11" s="115" t="s">
        <v>97</v>
      </c>
      <c r="AD11" s="115" t="s">
        <v>99</v>
      </c>
      <c r="AE11" s="115" t="s">
        <v>100</v>
      </c>
      <c r="AF11" s="22">
        <f t="shared" si="0"/>
        <v>2.0555555555555558</v>
      </c>
      <c r="AG11" s="15">
        <f t="shared" si="1"/>
        <v>3</v>
      </c>
      <c r="AH11" s="7">
        <f t="shared" si="2"/>
        <v>10</v>
      </c>
      <c r="AI11" s="7">
        <f t="shared" si="3"/>
        <v>0</v>
      </c>
      <c r="AJ11" s="7">
        <f>IF(Y11&lt;1,0,IF(AND(Y11&gt;=1,Y11&lt;3),5,IF(Y11&gt;=3,10,0)))</f>
        <v>10</v>
      </c>
      <c r="AK11" s="12">
        <f t="shared" si="5"/>
        <v>6</v>
      </c>
      <c r="AL11" s="14">
        <f t="shared" si="6"/>
        <v>29</v>
      </c>
      <c r="AM11" s="16" t="str">
        <f t="shared" si="7"/>
        <v>Barrier</v>
      </c>
      <c r="AN11" s="115"/>
      <c r="AO11" s="116"/>
      <c r="AP11" s="116" t="s">
        <v>127</v>
      </c>
    </row>
    <row r="12" spans="1:42" ht="30" x14ac:dyDescent="0.25">
      <c r="A12" s="117">
        <v>44469</v>
      </c>
      <c r="B12" s="73">
        <v>50061</v>
      </c>
      <c r="C12" s="25"/>
      <c r="D12" s="25" t="s">
        <v>117</v>
      </c>
      <c r="E12" s="77">
        <v>11</v>
      </c>
      <c r="F12" s="78">
        <v>667651.179226915</v>
      </c>
      <c r="G12" s="79">
        <v>5459222.8867470501</v>
      </c>
      <c r="H12" s="77" t="s">
        <v>121</v>
      </c>
      <c r="I12" s="77" t="s">
        <v>94</v>
      </c>
      <c r="J12" s="42"/>
      <c r="K12" s="77" t="s">
        <v>138</v>
      </c>
      <c r="L12" s="25" t="s">
        <v>95</v>
      </c>
      <c r="M12" s="25" t="s">
        <v>96</v>
      </c>
      <c r="N12" s="114">
        <v>0.9</v>
      </c>
      <c r="O12" s="114">
        <v>14.5</v>
      </c>
      <c r="P12" s="116" t="s">
        <v>98</v>
      </c>
      <c r="Q12" s="116">
        <v>0.4</v>
      </c>
      <c r="R12" s="116" t="s">
        <v>98</v>
      </c>
      <c r="S12" s="116" t="s">
        <v>97</v>
      </c>
      <c r="T12" s="122"/>
      <c r="U12" s="114">
        <v>1.5</v>
      </c>
      <c r="V12" s="116">
        <v>0</v>
      </c>
      <c r="W12" s="114">
        <v>0</v>
      </c>
      <c r="X12" s="116" t="s">
        <v>97</v>
      </c>
      <c r="Y12" s="114">
        <v>3</v>
      </c>
      <c r="Z12" s="114">
        <v>2.9</v>
      </c>
      <c r="AA12" s="116">
        <v>3</v>
      </c>
      <c r="AB12" s="25" t="s">
        <v>97</v>
      </c>
      <c r="AC12" s="25" t="s">
        <v>97</v>
      </c>
      <c r="AD12" s="116" t="s">
        <v>99</v>
      </c>
      <c r="AE12" s="116" t="s">
        <v>100</v>
      </c>
      <c r="AF12" s="22">
        <f t="shared" ref="AF12:AF72" si="8">IF(ISBLANK(Z12), 0, IF(ISBLANK(N12) &lt; 0, 0,Z12 / N12))</f>
        <v>3.2222222222222219</v>
      </c>
      <c r="AG12" s="15">
        <f t="shared" si="1"/>
        <v>0</v>
      </c>
      <c r="AH12" s="7">
        <f t="shared" si="2"/>
        <v>0</v>
      </c>
      <c r="AI12" s="7">
        <f t="shared" si="3"/>
        <v>0</v>
      </c>
      <c r="AJ12" s="7">
        <f t="shared" si="4"/>
        <v>10</v>
      </c>
      <c r="AK12" s="12">
        <f t="shared" si="5"/>
        <v>6</v>
      </c>
      <c r="AL12" s="14">
        <f t="shared" ref="AL12:AL70" si="9">AG12 + AH12 + AI12 + AJ12 + AK12</f>
        <v>16</v>
      </c>
      <c r="AM12" s="16" t="str">
        <f t="shared" si="7"/>
        <v>Potential</v>
      </c>
      <c r="AN12" s="116"/>
      <c r="AO12" s="114"/>
      <c r="AP12" s="25" t="s">
        <v>128</v>
      </c>
    </row>
    <row r="13" spans="1:42" ht="30" x14ac:dyDescent="0.25">
      <c r="A13" s="82">
        <v>44473</v>
      </c>
      <c r="B13" s="76">
        <v>62122</v>
      </c>
      <c r="C13" s="25"/>
      <c r="D13" s="25" t="s">
        <v>117</v>
      </c>
      <c r="E13" s="77">
        <v>11</v>
      </c>
      <c r="F13" s="78">
        <v>676913.10692922794</v>
      </c>
      <c r="G13" s="79">
        <v>5459598.0572218401</v>
      </c>
      <c r="H13" s="77" t="s">
        <v>122</v>
      </c>
      <c r="I13" s="77" t="s">
        <v>123</v>
      </c>
      <c r="J13" s="80"/>
      <c r="K13" s="77" t="s">
        <v>142</v>
      </c>
      <c r="L13" s="25" t="s">
        <v>95</v>
      </c>
      <c r="M13" s="25" t="s">
        <v>96</v>
      </c>
      <c r="N13" s="114">
        <v>0.9</v>
      </c>
      <c r="O13" s="114">
        <v>9.5</v>
      </c>
      <c r="P13" s="116" t="s">
        <v>97</v>
      </c>
      <c r="Q13" s="121"/>
      <c r="R13" s="116" t="s">
        <v>97</v>
      </c>
      <c r="S13" s="116" t="s">
        <v>97</v>
      </c>
      <c r="T13" s="121"/>
      <c r="U13" s="114">
        <v>0.2</v>
      </c>
      <c r="V13" s="116">
        <v>0</v>
      </c>
      <c r="W13" s="114">
        <v>0</v>
      </c>
      <c r="X13" s="116" t="s">
        <v>97</v>
      </c>
      <c r="Y13" s="114">
        <v>4.5</v>
      </c>
      <c r="Z13" s="114">
        <v>1.5</v>
      </c>
      <c r="AA13" s="116">
        <v>2.2999999999999998</v>
      </c>
      <c r="AB13" s="25" t="s">
        <v>97</v>
      </c>
      <c r="AC13" s="25" t="s">
        <v>97</v>
      </c>
      <c r="AD13" s="116" t="s">
        <v>99</v>
      </c>
      <c r="AE13" s="116" t="s">
        <v>100</v>
      </c>
      <c r="AF13" s="22">
        <f t="shared" si="8"/>
        <v>1.6666666666666665</v>
      </c>
      <c r="AG13" s="15">
        <f t="shared" si="1"/>
        <v>0</v>
      </c>
      <c r="AH13" s="7">
        <f t="shared" si="2"/>
        <v>10</v>
      </c>
      <c r="AI13" s="7">
        <f t="shared" si="3"/>
        <v>0</v>
      </c>
      <c r="AJ13" s="7">
        <f t="shared" si="4"/>
        <v>10</v>
      </c>
      <c r="AK13" s="12">
        <f t="shared" si="5"/>
        <v>6</v>
      </c>
      <c r="AL13" s="14">
        <f t="shared" si="9"/>
        <v>26</v>
      </c>
      <c r="AM13" s="16" t="str">
        <f t="shared" si="7"/>
        <v>Barrier</v>
      </c>
      <c r="AN13" s="116"/>
      <c r="AO13" s="114"/>
      <c r="AP13" s="25" t="s">
        <v>129</v>
      </c>
    </row>
    <row r="14" spans="1:42" ht="30" x14ac:dyDescent="0.25">
      <c r="A14" s="82">
        <v>44473</v>
      </c>
      <c r="B14" s="76">
        <v>50067</v>
      </c>
      <c r="C14" s="25"/>
      <c r="D14" s="25" t="s">
        <v>117</v>
      </c>
      <c r="E14" s="77">
        <v>11</v>
      </c>
      <c r="F14" s="78">
        <v>679597.23479151202</v>
      </c>
      <c r="G14" s="79">
        <v>5453755.7910095202</v>
      </c>
      <c r="H14" s="77" t="s">
        <v>124</v>
      </c>
      <c r="I14" s="77" t="s">
        <v>123</v>
      </c>
      <c r="J14" s="80"/>
      <c r="K14" s="77" t="s">
        <v>142</v>
      </c>
      <c r="L14" s="25" t="s">
        <v>95</v>
      </c>
      <c r="M14" s="25" t="s">
        <v>96</v>
      </c>
      <c r="N14" s="114">
        <v>0.6</v>
      </c>
      <c r="O14" s="114">
        <v>11</v>
      </c>
      <c r="P14" s="116" t="s">
        <v>97</v>
      </c>
      <c r="Q14" s="121"/>
      <c r="R14" s="116" t="s">
        <v>97</v>
      </c>
      <c r="S14" s="116" t="s">
        <v>97</v>
      </c>
      <c r="T14" s="121"/>
      <c r="U14" s="114">
        <v>0.3</v>
      </c>
      <c r="V14" s="116">
        <v>0</v>
      </c>
      <c r="W14" s="114">
        <v>0</v>
      </c>
      <c r="X14" s="116" t="s">
        <v>97</v>
      </c>
      <c r="Y14" s="114">
        <v>3</v>
      </c>
      <c r="Z14" s="114">
        <v>1.35</v>
      </c>
      <c r="AA14" s="116">
        <v>1.5</v>
      </c>
      <c r="AB14" s="25" t="s">
        <v>98</v>
      </c>
      <c r="AC14" s="25" t="s">
        <v>97</v>
      </c>
      <c r="AD14" s="116" t="s">
        <v>99</v>
      </c>
      <c r="AE14" s="116" t="s">
        <v>125</v>
      </c>
      <c r="AF14" s="22">
        <f t="shared" si="8"/>
        <v>2.2500000000000004</v>
      </c>
      <c r="AG14" s="15">
        <f t="shared" si="1"/>
        <v>0</v>
      </c>
      <c r="AH14" s="7">
        <f t="shared" si="2"/>
        <v>10</v>
      </c>
      <c r="AI14" s="7">
        <f t="shared" si="3"/>
        <v>0</v>
      </c>
      <c r="AJ14" s="7">
        <f t="shared" si="4"/>
        <v>10</v>
      </c>
      <c r="AK14" s="12">
        <f t="shared" si="5"/>
        <v>6</v>
      </c>
      <c r="AL14" s="14">
        <f t="shared" si="9"/>
        <v>26</v>
      </c>
      <c r="AM14" s="16" t="str">
        <f t="shared" si="7"/>
        <v>Barrier</v>
      </c>
      <c r="AN14" s="116"/>
      <c r="AO14" s="114"/>
      <c r="AP14" s="25" t="s">
        <v>126</v>
      </c>
    </row>
    <row r="15" spans="1:42" ht="30" x14ac:dyDescent="0.25">
      <c r="A15" s="82">
        <v>44467</v>
      </c>
      <c r="B15" s="76"/>
      <c r="C15" s="25">
        <v>4605514</v>
      </c>
      <c r="D15" s="25" t="s">
        <v>117</v>
      </c>
      <c r="E15" s="77">
        <v>11</v>
      </c>
      <c r="F15" s="78">
        <v>657919.70857006696</v>
      </c>
      <c r="G15" s="79">
        <v>5452801.6807500403</v>
      </c>
      <c r="H15" s="77" t="s">
        <v>130</v>
      </c>
      <c r="I15" s="77" t="s">
        <v>131</v>
      </c>
      <c r="J15" s="80"/>
      <c r="K15" s="77" t="s">
        <v>138</v>
      </c>
      <c r="L15" s="25" t="s">
        <v>95</v>
      </c>
      <c r="M15" s="25" t="s">
        <v>96</v>
      </c>
      <c r="N15" s="114">
        <v>1.2</v>
      </c>
      <c r="O15" s="114">
        <v>11.5</v>
      </c>
      <c r="P15" s="116" t="s">
        <v>97</v>
      </c>
      <c r="Q15" s="121"/>
      <c r="R15" s="116" t="s">
        <v>97</v>
      </c>
      <c r="S15" s="116" t="s">
        <v>97</v>
      </c>
      <c r="T15" s="122"/>
      <c r="U15" s="114">
        <v>1</v>
      </c>
      <c r="V15" s="116">
        <v>1.2</v>
      </c>
      <c r="W15" s="114">
        <v>0.93</v>
      </c>
      <c r="X15" s="116" t="s">
        <v>97</v>
      </c>
      <c r="Y15" s="114">
        <v>5</v>
      </c>
      <c r="Z15" s="114">
        <v>2.2000000000000002</v>
      </c>
      <c r="AA15" s="116">
        <v>5</v>
      </c>
      <c r="AB15" s="25" t="s">
        <v>97</v>
      </c>
      <c r="AC15" s="25" t="s">
        <v>97</v>
      </c>
      <c r="AD15" s="116" t="s">
        <v>99</v>
      </c>
      <c r="AE15" s="116" t="s">
        <v>100</v>
      </c>
      <c r="AF15" s="22">
        <f t="shared" si="8"/>
        <v>1.8333333333333335</v>
      </c>
      <c r="AG15" s="15">
        <f t="shared" si="1"/>
        <v>0</v>
      </c>
      <c r="AH15" s="7">
        <f t="shared" si="2"/>
        <v>10</v>
      </c>
      <c r="AI15" s="7">
        <f t="shared" si="3"/>
        <v>10</v>
      </c>
      <c r="AJ15" s="7">
        <f t="shared" si="4"/>
        <v>10</v>
      </c>
      <c r="AK15" s="12">
        <f t="shared" si="5"/>
        <v>6</v>
      </c>
      <c r="AL15" s="14">
        <f t="shared" si="9"/>
        <v>36</v>
      </c>
      <c r="AM15" s="16" t="str">
        <f t="shared" si="7"/>
        <v>Barrier</v>
      </c>
      <c r="AN15" s="116"/>
      <c r="AO15" s="114"/>
      <c r="AP15" s="25" t="s">
        <v>132</v>
      </c>
    </row>
    <row r="16" spans="1:42" x14ac:dyDescent="0.25">
      <c r="A16" s="82">
        <v>44473</v>
      </c>
      <c r="B16" s="76">
        <v>61504</v>
      </c>
      <c r="C16" s="25"/>
      <c r="D16" s="25" t="s">
        <v>117</v>
      </c>
      <c r="E16" s="77">
        <v>11</v>
      </c>
      <c r="F16" s="78">
        <v>645312.87165317801</v>
      </c>
      <c r="G16" s="79">
        <v>5483687.2708809497</v>
      </c>
      <c r="H16" s="77" t="s">
        <v>133</v>
      </c>
      <c r="I16" s="77" t="s">
        <v>134</v>
      </c>
      <c r="J16" s="80"/>
      <c r="K16" s="77" t="s">
        <v>143</v>
      </c>
      <c r="L16" s="25" t="s">
        <v>135</v>
      </c>
      <c r="M16" s="25" t="s">
        <v>136</v>
      </c>
      <c r="N16" s="114">
        <v>24</v>
      </c>
      <c r="O16" s="114">
        <v>4.5</v>
      </c>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Passable</v>
      </c>
      <c r="AN16" s="121"/>
      <c r="AO16" s="122"/>
      <c r="AP16" s="25" t="s">
        <v>137</v>
      </c>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nerk6+XSsO1zZORNlBt5aTknXxi2Xxt5RbCywrqxNiLQ7jkly3rpkWmR3ko6FdI+fS9G55VmO1KHjrmiNpWamg==" saltValue="V79hCfnIdWRUKO8jniTbI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9 Q5 Q1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7" xr:uid="{6611246C-5A4F-47D5-86F8-A8425BC483CB}">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8" xr:uid="{27A36A6B-CDD6-4919-81C2-D535F95BDB55}">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10 Q12:Q13" xr:uid="{28833EFF-8725-460B-8D0D-E19B357738DD}">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xr:uid="{F6DEA78B-84F6-4D5E-8C3E-106DD35FEFB6}">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14" xr:uid="{A6268308-CDF9-45BB-B417-6470260BE990}">
      <formula1>0.01</formula1>
      <formula2>0.59</formula2>
    </dataValidation>
    <dataValidation type="list" allowBlank="1" showInputMessage="1" showErrorMessage="1" errorTitle="Invalid value entered" error="The crossing subtype is not compatible with a crossing type of Open Bottom Structure" sqref="M16" xr:uid="{0AA6E8E5-83BE-46A0-9551-B724F29EB054}">
      <formula1>"Bridge, Pipe Arch, Wood Box Culvert"</formula1>
    </dataValidation>
    <dataValidation type="decimal" allowBlank="1" showInputMessage="1" showErrorMessage="1" errorTitle="Invalid Diamter or Span" error="The Diameter or Span entered is invalid. Diameter or Span must be &gt; 0 and &lt; 100" sqref="N16" xr:uid="{30F0D0A0-E6F1-4798-8781-CF5C33DB4DAD}">
      <formula1>0.01</formula1>
      <formula2>100</formula2>
    </dataValidation>
    <dataValidation type="decimal" allowBlank="1" showInputMessage="1" showErrorMessage="1" errorTitle="Invalid value entered" error="The Average Depth Embededdment you entered is invalid. The Average Depth Embededdment must be &lt;= 23.99 and &gt;= 0.01" sqref="Q16" xr:uid="{129B37D4-AD85-4A03-A36D-770F6CDC67E1}">
      <formula1>0.01</formula1>
      <formula2>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2022-01-19T23:00:12Z</dcterms:modified>
</cp:coreProperties>
</file>