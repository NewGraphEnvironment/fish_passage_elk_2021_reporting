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CCF4486C-819E-48A7-B628-FB5C3EC502FE}"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8" i="2"/>
  <c r="AM18" i="2"/>
  <c r="AL16" i="2"/>
  <c r="AM16" i="2"/>
  <c r="AL14" i="2"/>
  <c r="AM14" i="2" s="1"/>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7" i="2" l="1"/>
  <c r="AM17" i="2" s="1"/>
  <c r="AL8" i="2"/>
  <c r="AM8" i="2" s="1"/>
  <c r="AL15" i="2"/>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<sst xmlns="http://schemas.openxmlformats.org/spreadsheetml/2006/main" count="330" uniqueCount="174">
  <si>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</si>
  <si>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</si>
  <si>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</si>
  <si>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</si>
  <si>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</si>
  <si>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</si>
  <si>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</si>
  <si>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</si>
  <si>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</si>
  <si>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</si>
  <si>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</si>
  <si>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</si>
  <si>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</si>
  <si>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</si>
  <si>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</si>
  <si>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</si>
  <si>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</si>
  <si>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</si>
  <si>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</si>
  <si>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</si>
  <si>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</si>
  <si>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</si>
  <si>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</si>
  <si>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</si>
  <si>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</si>
  <si>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</si>
  <si>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</si>
  <si>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</si>
  <si>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</si>
  <si>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</si>
  <si>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</si>
  <si>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</si>
  <si>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</si>
  <si>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</si>
  <si>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</si>
  <si>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</si>
  <si>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</si>
  <si>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</si>
  <si>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</si>
  <si>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</si>
  <si>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</si>
  <si>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</si>
  <si>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</si>
  <si>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</si>
  <si>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</si>
  <si>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</si>
  <si>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</si>
  <si>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</si>
  <si>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</si>
  <si>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</si>
  <si>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</si>
  <si>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</si>
  <si>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</si>
  <si>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</si>
  <si>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</si>
  <si>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</si>
  <si>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</si>
  <si>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</si>
  <si>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</si>
  <si>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</si>
  <si>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</si>
  <si>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</si>
  <si>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</si>
  <si>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</si>
  <si>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</si>
  <si>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</si>
  <si>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</si>
  <si>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</si>
  <si>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</si>
  <si>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</si>
  <si>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</si>
  <si>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</si>
  <si>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</si>
  <si>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</si>
  <si>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</si>
  <si>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</si>
  <si>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</si>
  <si>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</si>
  <si>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</si>
  <si>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</si>
  <si>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</si>
  <si>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</si>
  <si>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</si>
  <si>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</si>
  <si>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</si>
  <si>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</si>
  <si>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</si>
  <si>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</si>
  <si>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</si>
  <si>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</si>
  <si>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</si>
  <si>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</si>
  <si>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</si>
  <si>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</si>
  <si>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</si>
  <si>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</si>
  <si>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</si>
  <si>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</si>
  <si>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</si>
  <si>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</si>
  <si>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</si>
  <si>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</si>
  <si>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</si>
  <si>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</si>
  <si>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</si>
  <si>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</si>
  <si>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</si>
  <si>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</si>
  <si>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</si>
  <si>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</si>
  <si>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</si>
  <si>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</si>
  <si>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</si>
  <si>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</si>
  <si>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</si>
  <si>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</si>
  <si>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</si>
  <si>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</si>
  <si>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</si>
  <si>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</si>
  <si>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</si>
  <si>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</si>
  <si>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</si>
  <si>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</si>
  <si>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</si>
  <si>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</si>
  <si>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</si>
  <si>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</si>
  <si>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</si>
  <si>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</si>
  <si>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</si>
  <si>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</si>
  <si>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</si>
  <si>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</si>
  <si>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</si>
  <si>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</si>
  <si>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</si>
  <si>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</si>
  <si>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</si>
  <si>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</si>
  <si>
    <t>Two pipes (1.8m x 1.8m).  Stream left pipe embedd at outlet 0.6m but not at inlet and there is a significant inlet drop. PSCIS crossing 62182 is located ~30m upstream of the crossing under the railway. 12:50</t>
  </si>
  <si>
    <t>CP Railway</t>
  </si>
  <si>
    <t>Canadian Pacific</t>
  </si>
  <si>
    <t>Two pipes (1.8m x 1.8m). Left pipe was measured. Right pipe gradient ~3%.  Right pipe partially embedded. 14:16</t>
  </si>
  <si>
    <t>Replace with New Open Bottom Structure</t>
  </si>
  <si>
    <t>Replace Structure with Streambed Simulation CBS</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</si>
  <si>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Crossing fix has been updated from version submitted to PSCIS to reflect need for bridge and channel width upstream of modelled crossing 4606967. channel width also updated from 1.35 to 6.5 to reflect the measured stream channel width 2km upstream at the modeled crossing. 14:40</t>
  </si>
  <si>
    <t>Coal Creek Road</t>
  </si>
  <si>
    <t>Bean Creek</t>
  </si>
  <si>
    <t>Upper Elk River and Flathead River Fish Passage Restoration Planning - 2021</t>
  </si>
  <si>
    <t>00188139</t>
  </si>
  <si>
    <t>Betty Rebellato</t>
  </si>
  <si>
    <t>800-563-9453</t>
  </si>
  <si>
    <t>BettyR@cwf-fcf.org</t>
  </si>
  <si>
    <t>186987</t>
  </si>
  <si>
    <t>Al Irvine</t>
  </si>
  <si>
    <t>250-777-1518</t>
  </si>
  <si>
    <t>al@newgraphenvironment.com</t>
  </si>
  <si>
    <t>OTHER</t>
  </si>
  <si>
    <t>ENV07_Elk Phase 2</t>
  </si>
  <si>
    <t>PSCIS Images</t>
  </si>
  <si>
    <t>An error occured locating the image Folder C:\Users\allan\OneDrive\New_Graph\Current\2021-041-nupqu-elk-fish-passage\scripts\fish_passage_elk_2021_reporting\data\197786. This folder must be located in the same directory as this submission sheet, and have the same name as the project '197786'. Please ensure this folder exists.</t>
  </si>
  <si>
    <t>An error occured locating the image Folder C:\Users\allan\OneDrive\New_Graph\Current\2021-041-nupqu-elk-fish-passage\scripts\fish_passage_elk_2021_reporting\data\197787. This folder must be located in the same directory as this submission sheet, and have the same name as the project '197787'. Please ensure this folder exists.</t>
  </si>
  <si>
    <t>An error occured locating the image Folder C:\Users\allan\OneDrive\New_Graph\Current\2021-041-nupqu-elk-fish-passage\scripts\fish_passage_elk_2021_reporting\data\197793. This folder must be located in the same directory as this submission sheet, and have the same name as the project '197793'. Please ensure this folder exists.</t>
  </si>
  <si>
    <t>An error occured locating the image Folder C:\Users\allan\OneDrive\New_Graph\Current\2021-041-nupqu-elk-fish-passage\scripts\fish_passage_elk_2021_reporting\data\197796. This folder must be located in the same directory as this submission sheet, and have the same name as the project '197796'. Please ensure this folder exists.</t>
  </si>
  <si>
    <t>An error occured locating the image Folder C:\Users\allan\OneDrive\New_Graph\Current\2021-041-nupqu-elk-fish-passage\scripts\fish_passage_elk_2021_reporting\data\50063. This folder must be located in the same directory as this submission sheet, and have the same name as the project '50063'. Please ensure this folder exists.</t>
  </si>
  <si>
    <t>An error occured locating the image Folder C:\Users\allan\OneDrive\New_Graph\Current\2021-041-nupqu-elk-fish-passage\scripts\fish_passage_elk_2021_reporting\data\62505. This folder must be located in the same directory as this submission sheet, and have the same name as the project '62505'. Please ensure this folder exists.</t>
  </si>
  <si>
    <t>An error occured locating the image Folder C:\Users\allan\OneDrive\New_Graph\Current\2021-041-nupqu-elk-fish-passage\scripts\fish_passage_elk_2021_reporting\data\62182. This folder must be located in the same directory as this submission sheet, and have the same name as the project '62182'. Please ensure this folder exists.</t>
  </si>
  <si>
    <t>An error occured locating the image Folder C:\Users\allan\OneDrive\New_Graph\Current\2021-041-nupqu-elk-fish-passage\scripts\fish_passage_elk_2021_reporting\data\50061. This folder must be located in the same directory as this submission sheet, and have the same name as the project '50061'. Please ensure this folder exists.</t>
  </si>
  <si>
    <t>An error occured locating the image Folder C:\Users\allan\OneDrive\New_Graph\Current\2021-041-nupqu-elk-fish-passage\scripts\fish_passage_elk_2021_reporting\data\62122. This folder must be located in the same directory as this submission sheet, and have the same name as the project '62122'. Please ensure this folder exists.</t>
  </si>
  <si>
    <t>An error occured locating the image Folder C:\Users\allan\OneDrive\New_Graph\Current\2021-041-nupqu-elk-fish-passage\scripts\fish_passage_elk_2021_reporting\data\50067. This folder must be located in the same directory as this submission sheet, and have the same name as the project '50067'. Please ensure this folder exists.</t>
  </si>
  <si>
    <t>An error occured locating the image Folder C:\Users\allan\OneDrive\New_Graph\Current\2021-041-nupqu-elk-fish-passage\scripts\fish_passage_elk_2021_reporting\data\197844. This folder must be located in the same directory as this submission sheet, and have the same name as the project '197844'. Please ensure this folder exists.</t>
  </si>
  <si>
    <t>An error occured locating the image Folder C:\Users\allan\OneDrive\New_Graph\Current\2021-041-nupqu-elk-fish-passage\scripts\fish_passage_elk_2021_reporting\data\61504. This folder must be located in the same directory as this submission sheet, and have the same name as the project '61504'. Please ensure this folder exists.</t>
  </si>
  <si>
    <t>An error occured locating the image Folder C:\Users\allan\OneDrive\New_Graph\Current\2021-041-nupqu-elk-fish-passage\scripts\fish_passage_elk_2021_reporting\data\62181. This folder must be located in the same directory as this submission sheet, and have the same name as the project '62181'. Please ensure this folder exists.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</si>
</sst>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O17" sqref="O17"/>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159</v>
      </c>
    </row>
    <row r="5" spans="1:20" x14ac:dyDescent="0.25">
      <c r="A5" s="4" t="s">
        <v>58</v>
      </c>
      <c r="B5" t="s">
        <v>149</v>
      </c>
    </row>
    <row r="6" spans="1:20" x14ac:dyDescent="0.25">
      <c r="A6" s="4"/>
      <c r="B6" s="118"/>
    </row>
    <row r="7" spans="1:20" x14ac:dyDescent="0.25">
      <c r="A7" s="4" t="s">
        <v>86</v>
      </c>
      <c r="B7" s="119" t="s">
        <v>150</v>
      </c>
    </row>
    <row r="8" spans="1:20" x14ac:dyDescent="0.25">
      <c r="A8" s="4" t="s">
        <v>73</v>
      </c>
      <c r="B8" t="s">
        <v>151</v>
      </c>
    </row>
    <row r="9" spans="1:20" x14ac:dyDescent="0.25">
      <c r="A9" s="4" t="s">
        <v>74</v>
      </c>
      <c r="B9" t="s">
        <v>152</v>
      </c>
    </row>
    <row r="10" spans="1:20" x14ac:dyDescent="0.25">
      <c r="A10" s="4" t="s">
        <v>75</v>
      </c>
      <c r="B10" s="120" t="s">
        <v>153</v>
      </c>
    </row>
    <row r="11" spans="1:20" x14ac:dyDescent="0.25">
      <c r="A11" s="4"/>
      <c r="B11" s="118"/>
    </row>
    <row r="12" spans="1:20" x14ac:dyDescent="0.25">
      <c r="A12" s="4" t="s">
        <v>36</v>
      </c>
      <c r="B12" s="119" t="s">
        <v>154</v>
      </c>
    </row>
    <row r="13" spans="1:20" x14ac:dyDescent="0.25">
      <c r="A13" s="4" t="s">
        <v>37</v>
      </c>
      <c r="B13" t="s">
        <v>155</v>
      </c>
    </row>
    <row r="14" spans="1:20" x14ac:dyDescent="0.25">
      <c r="A14" s="4" t="s">
        <v>38</v>
      </c>
      <c r="B14" t="s">
        <v>156</v>
      </c>
    </row>
    <row r="15" spans="1:20" x14ac:dyDescent="0.25">
      <c r="A15" s="4" t="s">
        <v>39</v>
      </c>
      <c r="B15" s="120" t="s">
        <v>157</v>
      </c>
    </row>
    <row r="16" spans="1:20" x14ac:dyDescent="0.25">
      <c r="A16" s="4"/>
      <c r="B16" s="118"/>
    </row>
    <row r="17" spans="1:2" x14ac:dyDescent="0.25">
      <c r="A17" s="4" t="s">
        <v>40</v>
      </c>
      <c r="B17">
        <v>30000</v>
      </c>
    </row>
    <row r="18" spans="1:2" x14ac:dyDescent="0.25">
      <c r="A18" s="4" t="s">
        <v>41</v>
      </c>
      <c r="B18" t="s">
        <v>158</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M21" sqref="M21"/>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v>197786</v>
      </c>
      <c r="C5" s="116"/>
      <c r="D5" s="116" t="s">
        <v>92</v>
      </c>
      <c r="E5" s="77">
        <v>11</v>
      </c>
      <c r="F5" s="53">
        <v>665796.07904683799</v>
      </c>
      <c r="G5" s="51">
        <v>5462151.5333950697</v>
      </c>
      <c r="H5" s="11" t="s">
        <v>93</v>
      </c>
      <c r="I5" s="11" t="s">
        <v>94</v>
      </c>
      <c r="J5" s="104"/>
      <c r="K5" s="11" t="s">
        <v>134</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t="s">
        <v>144</v>
      </c>
      <c r="AO5" s="116">
        <v>12</v>
      </c>
      <c r="AP5" s="103" t="s">
        <v>101</v>
      </c>
    </row>
    <row r="6" spans="1:42" s="13" customFormat="1" x14ac:dyDescent="0.25">
      <c r="A6" s="117">
        <v>44406</v>
      </c>
      <c r="B6" s="112">
        <v>197787</v>
      </c>
      <c r="C6" s="116"/>
      <c r="D6" s="116" t="s">
        <v>92</v>
      </c>
      <c r="E6" s="77">
        <v>11</v>
      </c>
      <c r="F6" s="78">
        <v>664905.14723295497</v>
      </c>
      <c r="G6" s="79">
        <v>5462561.6500481497</v>
      </c>
      <c r="H6" s="116" t="s">
        <v>102</v>
      </c>
      <c r="I6" s="77" t="s">
        <v>94</v>
      </c>
      <c r="J6" s="104"/>
      <c r="K6" s="116" t="s">
        <v>134</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19</v>
      </c>
      <c r="AM6" s="16" t="str">
        <f t="shared" ref="AM6:AM67" si="7">IF(ISBLANK(L6), "", IF(L6 = "Open Bottom Structure", "Passable", IF(L6 = "Other", "Unknown", IF(AL6 &lt; 15, "Passable", IF(AND(AL6 &gt;= 15,AL6 &lt;= 19), "Potential", IF(AL6 &gt; 19, "Barrier", ""))))))</f>
        <v>Potential</v>
      </c>
      <c r="AN6" s="116" t="s">
        <v>144</v>
      </c>
      <c r="AO6" s="116">
        <v>12</v>
      </c>
      <c r="AP6" s="103" t="s">
        <v>103</v>
      </c>
    </row>
    <row r="7" spans="1:42" s="13" customFormat="1" x14ac:dyDescent="0.25">
      <c r="A7" s="117">
        <v>44407</v>
      </c>
      <c r="B7" s="112">
        <v>197793</v>
      </c>
      <c r="C7" s="116"/>
      <c r="D7" s="116" t="s">
        <v>92</v>
      </c>
      <c r="E7" s="77">
        <v>11</v>
      </c>
      <c r="F7" s="78">
        <v>650414.60798293003</v>
      </c>
      <c r="G7" s="79">
        <v>5463818.8277886296</v>
      </c>
      <c r="H7" s="116" t="s">
        <v>148</v>
      </c>
      <c r="I7" s="77" t="s">
        <v>104</v>
      </c>
      <c r="J7" s="104"/>
      <c r="K7" s="116" t="s">
        <v>134</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105</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t="s">
        <v>144</v>
      </c>
      <c r="AO7" s="116">
        <v>12</v>
      </c>
      <c r="AP7" s="116" t="s">
        <v>106</v>
      </c>
    </row>
    <row r="8" spans="1:42" s="13" customFormat="1" x14ac:dyDescent="0.25">
      <c r="A8" s="117">
        <v>44466</v>
      </c>
      <c r="B8" s="110">
        <v>197796</v>
      </c>
      <c r="C8" s="116"/>
      <c r="D8" s="116" t="s">
        <v>107</v>
      </c>
      <c r="E8" s="77">
        <v>11</v>
      </c>
      <c r="F8" s="78">
        <v>654301.67654856504</v>
      </c>
      <c r="G8" s="79">
        <v>5458678.3538345201</v>
      </c>
      <c r="H8" s="116" t="s">
        <v>108</v>
      </c>
      <c r="I8" s="77" t="s">
        <v>109</v>
      </c>
      <c r="J8" s="105"/>
      <c r="K8" s="108" t="s">
        <v>135</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105</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t="s">
        <v>144</v>
      </c>
      <c r="AO8" s="116">
        <v>12</v>
      </c>
      <c r="AP8" s="116" t="s">
        <v>110</v>
      </c>
    </row>
    <row r="9" spans="1:42" x14ac:dyDescent="0.25">
      <c r="A9" s="117">
        <v>44469</v>
      </c>
      <c r="B9" s="111">
        <v>50063</v>
      </c>
      <c r="C9" s="116"/>
      <c r="D9" s="116" t="s">
        <v>107</v>
      </c>
      <c r="E9" s="77">
        <v>11</v>
      </c>
      <c r="F9" s="78">
        <v>668960.50356336997</v>
      </c>
      <c r="G9" s="79">
        <v>5458806.4039871097</v>
      </c>
      <c r="H9" s="103" t="s">
        <v>111</v>
      </c>
      <c r="I9" s="77" t="s">
        <v>94</v>
      </c>
      <c r="J9" s="104"/>
      <c r="K9" s="108" t="s">
        <v>134</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t="s">
        <v>145</v>
      </c>
      <c r="AO9" s="116">
        <v>4.5</v>
      </c>
      <c r="AP9" s="116" t="s">
        <v>112</v>
      </c>
    </row>
    <row r="10" spans="1:42" x14ac:dyDescent="0.25">
      <c r="A10" s="117">
        <v>44482</v>
      </c>
      <c r="B10" s="111">
        <v>62505</v>
      </c>
      <c r="C10" s="116"/>
      <c r="D10" s="116" t="s">
        <v>113</v>
      </c>
      <c r="E10" s="77">
        <v>11</v>
      </c>
      <c r="F10" s="78">
        <v>636941.86356810795</v>
      </c>
      <c r="G10" s="79">
        <v>5483777.3498547804</v>
      </c>
      <c r="H10" s="103" t="s">
        <v>114</v>
      </c>
      <c r="I10" s="77" t="s">
        <v>115</v>
      </c>
      <c r="J10" s="104"/>
      <c r="K10" s="116" t="s">
        <v>136</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t="s">
        <v>144</v>
      </c>
      <c r="AO10" s="114">
        <v>12</v>
      </c>
      <c r="AP10" s="116" t="s">
        <v>119</v>
      </c>
    </row>
    <row r="11" spans="1:42" x14ac:dyDescent="0.25">
      <c r="A11" s="117">
        <v>44468</v>
      </c>
      <c r="B11" s="111">
        <v>62182</v>
      </c>
      <c r="C11" s="103"/>
      <c r="D11" s="115" t="s">
        <v>116</v>
      </c>
      <c r="E11" s="115">
        <v>11</v>
      </c>
      <c r="F11" s="107">
        <v>656390.04899583606</v>
      </c>
      <c r="G11" s="106">
        <v>5544771.0183467604</v>
      </c>
      <c r="H11" s="103" t="s">
        <v>117</v>
      </c>
      <c r="I11" s="77" t="s">
        <v>118</v>
      </c>
      <c r="J11" s="104"/>
      <c r="K11" s="115" t="s">
        <v>137</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t="s">
        <v>144</v>
      </c>
      <c r="AO11" s="116">
        <v>12</v>
      </c>
      <c r="AP11" s="116" t="s">
        <v>140</v>
      </c>
    </row>
    <row r="12" spans="1:42" ht="30" x14ac:dyDescent="0.25">
      <c r="A12" s="117">
        <v>44469</v>
      </c>
      <c r="B12" s="73">
        <v>50061</v>
      </c>
      <c r="C12" s="25"/>
      <c r="D12" s="25" t="s">
        <v>116</v>
      </c>
      <c r="E12" s="77">
        <v>11</v>
      </c>
      <c r="F12" s="78">
        <v>667651.179226915</v>
      </c>
      <c r="G12" s="79">
        <v>5459222.8867470501</v>
      </c>
      <c r="H12" s="77" t="s">
        <v>120</v>
      </c>
      <c r="I12" s="77" t="s">
        <v>94</v>
      </c>
      <c r="J12" s="42"/>
      <c r="K12" s="77" t="s">
        <v>134</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t="s">
        <v>144</v>
      </c>
      <c r="AO12" s="114">
        <v>12</v>
      </c>
      <c r="AP12" s="25" t="s">
        <v>125</v>
      </c>
    </row>
    <row r="13" spans="1:42" ht="30" x14ac:dyDescent="0.25">
      <c r="A13" s="117">
        <v>44473</v>
      </c>
      <c r="B13" s="76">
        <v>62122</v>
      </c>
      <c r="C13" s="25"/>
      <c r="D13" s="25" t="s">
        <v>116</v>
      </c>
      <c r="E13" s="77">
        <v>11</v>
      </c>
      <c r="F13" s="78">
        <v>676913.10692922794</v>
      </c>
      <c r="G13" s="79">
        <v>5459598.0572218401</v>
      </c>
      <c r="H13" s="77" t="s">
        <v>121</v>
      </c>
      <c r="I13" s="77" t="s">
        <v>122</v>
      </c>
      <c r="J13" s="80"/>
      <c r="K13" s="77" t="s">
        <v>138</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t="s">
        <v>145</v>
      </c>
      <c r="AO13" s="114">
        <v>3</v>
      </c>
      <c r="AP13" s="25" t="s">
        <v>126</v>
      </c>
    </row>
    <row r="14" spans="1:42" ht="30" x14ac:dyDescent="0.25">
      <c r="A14" s="117">
        <v>44473</v>
      </c>
      <c r="B14" s="76">
        <v>50067</v>
      </c>
      <c r="C14" s="25"/>
      <c r="D14" s="25" t="s">
        <v>116</v>
      </c>
      <c r="E14" s="77">
        <v>11</v>
      </c>
      <c r="F14" s="78">
        <v>679597.23479151202</v>
      </c>
      <c r="G14" s="79">
        <v>5453755.7910095202</v>
      </c>
      <c r="H14" s="77" t="s">
        <v>123</v>
      </c>
      <c r="I14" s="77" t="s">
        <v>122</v>
      </c>
      <c r="J14" s="80"/>
      <c r="K14" s="77" t="s">
        <v>138</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5.2</v>
      </c>
      <c r="AA14" s="116">
        <v>1.5</v>
      </c>
      <c r="AB14" s="25" t="s">
        <v>98</v>
      </c>
      <c r="AC14" s="25" t="s">
        <v>97</v>
      </c>
      <c r="AD14" s="116" t="s">
        <v>99</v>
      </c>
      <c r="AE14" s="116" t="s">
        <v>124</v>
      </c>
      <c r="AF14" s="22">
        <f t="shared" si="8"/>
        <v>8.6666666666666679</v>
      </c>
      <c r="AG14" s="15">
        <f t="shared" si="1"/>
        <v>0</v>
      </c>
      <c r="AH14" s="7">
        <f t="shared" si="2"/>
        <v>10</v>
      </c>
      <c r="AI14" s="7">
        <f t="shared" si="3"/>
        <v>0</v>
      </c>
      <c r="AJ14" s="7">
        <f t="shared" si="4"/>
        <v>10</v>
      </c>
      <c r="AK14" s="12">
        <f t="shared" si="5"/>
        <v>6</v>
      </c>
      <c r="AL14" s="14">
        <f t="shared" si="9"/>
        <v>26</v>
      </c>
      <c r="AM14" s="16" t="str">
        <f t="shared" si="7"/>
        <v>Barrier</v>
      </c>
      <c r="AN14" s="116" t="s">
        <v>144</v>
      </c>
      <c r="AO14" s="114">
        <v>12</v>
      </c>
      <c r="AP14" s="25" t="s">
        <v>146</v>
      </c>
    </row>
    <row r="15" spans="1:42" ht="30" x14ac:dyDescent="0.25">
      <c r="A15" s="117">
        <v>44467</v>
      </c>
      <c r="B15" s="76">
        <v>197844</v>
      </c>
      <c r="C15" s="25"/>
      <c r="D15" s="25" t="s">
        <v>116</v>
      </c>
      <c r="E15" s="77">
        <v>11</v>
      </c>
      <c r="F15" s="78">
        <v>657919.70857006696</v>
      </c>
      <c r="G15" s="79">
        <v>5452801.6807500403</v>
      </c>
      <c r="H15" s="77" t="s">
        <v>127</v>
      </c>
      <c r="I15" s="77" t="s">
        <v>128</v>
      </c>
      <c r="J15" s="80"/>
      <c r="K15" s="77" t="s">
        <v>134</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t="s">
        <v>144</v>
      </c>
      <c r="AO15" s="114">
        <v>12</v>
      </c>
      <c r="AP15" s="25" t="s">
        <v>129</v>
      </c>
    </row>
    <row r="16" spans="1:42" x14ac:dyDescent="0.25">
      <c r="A16" s="117">
        <v>44473</v>
      </c>
      <c r="B16" s="76">
        <v>61504</v>
      </c>
      <c r="C16" s="25"/>
      <c r="D16" s="25" t="s">
        <v>116</v>
      </c>
      <c r="E16" s="77">
        <v>11</v>
      </c>
      <c r="F16" s="78">
        <v>645312.87165317801</v>
      </c>
      <c r="G16" s="79">
        <v>5483687.2708809497</v>
      </c>
      <c r="H16" s="77" t="s">
        <v>130</v>
      </c>
      <c r="I16" s="77" t="s">
        <v>147</v>
      </c>
      <c r="J16" s="80"/>
      <c r="K16" s="77" t="s">
        <v>139</v>
      </c>
      <c r="L16" s="25" t="s">
        <v>131</v>
      </c>
      <c r="M16" s="25" t="s">
        <v>132</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133</v>
      </c>
    </row>
    <row r="17" spans="1:42" ht="30" x14ac:dyDescent="0.25">
      <c r="A17" s="117">
        <v>44468</v>
      </c>
      <c r="B17" s="76">
        <v>62181</v>
      </c>
      <c r="C17" s="25"/>
      <c r="D17" s="25" t="s">
        <v>116</v>
      </c>
      <c r="E17" s="77">
        <v>11</v>
      </c>
      <c r="F17" s="78">
        <v>656409</v>
      </c>
      <c r="G17" s="79">
        <v>5544755</v>
      </c>
      <c r="H17" s="77" t="s">
        <v>117</v>
      </c>
      <c r="I17" s="77" t="s">
        <v>141</v>
      </c>
      <c r="J17" s="80"/>
      <c r="K17" s="77" t="s">
        <v>142</v>
      </c>
      <c r="L17" s="25" t="s">
        <v>95</v>
      </c>
      <c r="M17" s="25" t="s">
        <v>96</v>
      </c>
      <c r="N17" s="114">
        <v>1.8</v>
      </c>
      <c r="O17" s="114">
        <v>17</v>
      </c>
      <c r="P17" s="116" t="s">
        <v>98</v>
      </c>
      <c r="Q17" s="114">
        <v>0.35</v>
      </c>
      <c r="R17" s="116" t="s">
        <v>98</v>
      </c>
      <c r="S17" s="116" t="s">
        <v>97</v>
      </c>
      <c r="T17" s="121"/>
      <c r="U17" s="114">
        <v>1.2</v>
      </c>
      <c r="V17" s="116">
        <v>0</v>
      </c>
      <c r="W17" s="114">
        <v>0</v>
      </c>
      <c r="X17" s="116" t="s">
        <v>98</v>
      </c>
      <c r="Y17" s="114">
        <v>2.6</v>
      </c>
      <c r="Z17" s="114">
        <v>3.7</v>
      </c>
      <c r="AA17" s="116">
        <v>3.3</v>
      </c>
      <c r="AB17" s="25" t="s">
        <v>97</v>
      </c>
      <c r="AC17" s="25" t="s">
        <v>97</v>
      </c>
      <c r="AD17" s="116" t="s">
        <v>99</v>
      </c>
      <c r="AE17" s="116" t="s">
        <v>100</v>
      </c>
      <c r="AF17" s="22">
        <f t="shared" si="8"/>
        <v>2.0555555555555558</v>
      </c>
      <c r="AG17" s="15">
        <f t="shared" si="1"/>
        <v>3</v>
      </c>
      <c r="AH17" s="7">
        <f t="shared" si="2"/>
        <v>5</v>
      </c>
      <c r="AI17" s="7">
        <f t="shared" si="3"/>
        <v>0</v>
      </c>
      <c r="AJ17" s="7">
        <f t="shared" si="4"/>
        <v>5</v>
      </c>
      <c r="AK17" s="12">
        <f t="shared" si="5"/>
        <v>6</v>
      </c>
      <c r="AL17" s="14">
        <f t="shared" si="9"/>
        <v>19</v>
      </c>
      <c r="AM17" s="16" t="str">
        <f t="shared" si="7"/>
        <v>Potential</v>
      </c>
      <c r="AN17" s="116" t="s">
        <v>144</v>
      </c>
      <c r="AO17" s="114">
        <v>12</v>
      </c>
      <c r="AP17" s="25" t="s">
        <v>143</v>
      </c>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AYKuvsGg0A/+9P6BtjxCgFnvFobMd0CWuovPLL9MsDEjPl2LxSDSwrhAvjpsyEnxuYn+X/J1UPc7cd2ft5HAdg==" saltValue="i03lzu3HmJcZ23pp5ERcfg==" spinCount="100000" sheet="1" objects="1" scenarios="1"/>
  <dataConsolidate/>
  <conditionalFormatting sqref="AO12:AO13 AO15:AO65536">
    <cfRule type="cellIs" priority="214" stopIfTrue="1" operator="lessThan">
      <formula>0</formula>
    </cfRule>
  </conditionalFormatting>
  <conditionalFormatting sqref="AF6:AF4998 AF5284:AF65536">
    <cfRule type="cellIs" dxfId="2" priority="202" stopIfTrue="1" operator="greaterThan">
      <formula>9999999999</formula>
    </cfRule>
  </conditionalFormatting>
  <conditionalFormatting sqref="AF4999:AF5283">
    <cfRule type="cellIs" dxfId="1" priority="16" stopIfTrue="1" operator="greaterThan">
      <formula>9999999999</formula>
    </cfRule>
  </conditionalFormatting>
  <conditionalFormatting sqref="AO6:AO11">
    <cfRule type="cellIs" priority="4" stopIfTrue="1" operator="lessThan">
      <formula>0</formula>
    </cfRule>
  </conditionalFormatting>
  <conditionalFormatting sqref="AO5">
    <cfRule type="cellIs" priority="3" stopIfTrue="1" operator="lessThan">
      <formula>0</formula>
    </cfRule>
  </conditionalFormatting>
  <conditionalFormatting sqref="AF5">
    <cfRule type="cellIs" dxfId="0" priority="2" stopIfTrue="1" operator="greaterThan">
      <formula>9999999999</formula>
    </cfRule>
  </conditionalFormatting>
  <conditionalFormatting sqref="AO14">
    <cfRule type="cellIs" priority="1" stopIfTrue="1" operator="lessThan">
      <formula>0</formula>
    </cfRule>
  </conditionalFormatting>
  <dataValidations count="50">
    <dataValidation type="list" allowBlank="1" showInputMessage="1" showErrorMessage="1" sqref="AM5284:AM65536" xr:uid="{00000000-0002-0000-0200-000000000000}">
      <formula1>"Passable, Potential, Barrier, Unkown"</formula1>
    </dataValidation>
    <dataValidation type="list" allowBlank="1" showInputMessage="1" showErrorMessage="1" sqref="M1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M17"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N17" xr:uid="{00000000-0002-0000-0200-000025000000}">
      <formula1>0.01</formula1>
      <formula2>300</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1.19 and &gt;= 0.01" sqref="Q5" xr:uid="{4FC73ADF-8F30-472C-9660-139B55B9677F}">
      <formula1>0.01</formula1>
      <formula2>1.19</formula2>
    </dataValidation>
    <dataValidation type="decimal" allowBlank="1" showInputMessage="1" showErrorMessage="1" errorTitle="Invalid value entered" error="The Average Depth Embededdment you entered is invalid. The Average Depth Embededdment must be &lt;= 1.99 and &gt;= 0.01" sqref="Q6" xr:uid="{9072A1C8-1C2C-4A78-AC00-EF2B6339C409}">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7AD7FCB-5793-4F29-8C42-57191D9901FA}">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FA01BF3B-63EE-46EB-8306-90BD62888522}">
      <formula1>0.01</formula1>
      <formula2>1.59</formula2>
    </dataValidation>
    <dataValidation type="decimal" allowBlank="1" showInputMessage="1" showErrorMessage="1" errorTitle="Invalid value entered" error="The Average Depth Embededdment you entered is invalid. The Average Depth Embededdment must be &lt;= 1.19 and &gt;= 0.01" sqref="Q9" xr:uid="{92A27D9F-9630-4BE3-BEB1-64E0A3082B7A}">
      <formula1>0.01</formula1>
      <formula2>1.19</formula2>
    </dataValidation>
    <dataValidation type="decimal" allowBlank="1" showInputMessage="1" showErrorMessage="1" errorTitle="Invalid value entered" error="The Average Depth Embededdment you entered is invalid. The Average Depth Embededdment must be &lt;= 0.89 and &gt;= 0.01" sqref="Q10" xr:uid="{AD9B7C68-5E21-4622-B26D-DDFF50A04C96}">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D09E8151-4D96-4B18-AA01-AA6C43860BD3}">
      <formula1>0.01</formula1>
      <formula2>1.79</formula2>
    </dataValidation>
    <dataValidation type="decimal" allowBlank="1" showInputMessage="1" showErrorMessage="1" errorTitle="Invalid value entered" error="The Average Depth Embededdment you entered is invalid. The Average Depth Embededdment must be &lt;= 0.89 and &gt;= 0.01" sqref="Q12" xr:uid="{90377E49-37F9-4A96-99C6-C8260D649D1A}">
      <formula1>0.01</formula1>
      <formula2>0.89</formula2>
    </dataValidation>
    <dataValidation type="decimal" allowBlank="1" showInputMessage="1" showErrorMessage="1" errorTitle="Invalid value entered" error="The Average Depth Embededdment you entered is invalid. The Average Depth Embededdment must be &lt;= 0.89 and &gt;= 0.01" sqref="Q13" xr:uid="{63B1FBAB-84BF-4B93-B646-1D6E51E1650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14" xr:uid="{65651795-58AD-405B-B23F-E08B7915F828}">
      <formula1>0.01</formula1>
      <formula2>0.59</formula2>
    </dataValidation>
    <dataValidation type="decimal" allowBlank="1" showInputMessage="1" showErrorMessage="1" errorTitle="Invalid value entered" error="The Average Depth Embededdment you entered is invalid. The Average Depth Embededdment must be &lt;= 1.19 and &gt;= 0.01" sqref="Q15" xr:uid="{8884B571-E5D1-4A9F-890A-4E935866C7E5}">
      <formula1>0.01</formula1>
      <formula2>1.19</formula2>
    </dataValidation>
    <dataValidation type="decimal" allowBlank="1" showInputMessage="1" showErrorMessage="1" errorTitle="Invalid value entered" error="The Average Depth Embededdment you entered is invalid. The Average Depth Embededdment must be &lt;= 23.99 and &gt;= 0.01" sqref="Q16" xr:uid="{6283AF06-D4BF-4D06-A241-DEDFF7791D91}">
      <formula1>0.01</formula1>
      <formula2>23.99</formula2>
    </dataValidation>
    <dataValidation type="decimal" allowBlank="1" showInputMessage="1" showErrorMessage="1" errorTitle="Invalid value entered" error="The Average Depth Embededdment you entered is invalid. The Average Depth Embededdment must be &lt;= 1.79 and &gt;= 0.01" sqref="Q17" xr:uid="{BACD816D-5D36-4648-BE4B-E0B54E71101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4"/>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row r="2" spans="1:3" ht="75" x14ac:dyDescent="0.25">
      <c r="A2" s="18" t="s">
        <v>160</v>
      </c>
      <c r="B2" s="18">
        <v>5</v>
      </c>
      <c r="C2" s="19" t="s">
        <v>161</v>
      </c>
    </row>
    <row r="3" spans="1:3" ht="75" x14ac:dyDescent="0.25">
      <c r="A3" s="18" t="s">
        <v>160</v>
      </c>
      <c r="B3" s="18">
        <v>6</v>
      </c>
      <c r="C3" s="19" t="s">
        <v>162</v>
      </c>
    </row>
    <row r="4" spans="1:3" ht="75" x14ac:dyDescent="0.25">
      <c r="A4" s="18" t="s">
        <v>160</v>
      </c>
      <c r="B4" s="18">
        <v>7</v>
      </c>
      <c r="C4" s="19" t="s">
        <v>163</v>
      </c>
    </row>
    <row r="5" spans="1:3" ht="75" x14ac:dyDescent="0.25">
      <c r="A5" s="18" t="s">
        <v>160</v>
      </c>
      <c r="B5" s="18">
        <v>8</v>
      </c>
      <c r="C5" s="19" t="s">
        <v>164</v>
      </c>
    </row>
    <row r="6" spans="1:3" ht="75" x14ac:dyDescent="0.25">
      <c r="A6" s="18" t="s">
        <v>160</v>
      </c>
      <c r="B6" s="18">
        <v>9</v>
      </c>
      <c r="C6" s="19" t="s">
        <v>165</v>
      </c>
    </row>
    <row r="7" spans="1:3" ht="75" x14ac:dyDescent="0.25">
      <c r="A7" s="18" t="s">
        <v>160</v>
      </c>
      <c r="B7" s="18">
        <v>10</v>
      </c>
      <c r="C7" s="19" t="s">
        <v>166</v>
      </c>
    </row>
    <row r="8" spans="1:3" ht="75" x14ac:dyDescent="0.25">
      <c r="A8" s="18" t="s">
        <v>160</v>
      </c>
      <c r="B8" s="18">
        <v>11</v>
      </c>
      <c r="C8" s="19" t="s">
        <v>167</v>
      </c>
    </row>
    <row r="9" spans="1:3" ht="75" x14ac:dyDescent="0.25">
      <c r="A9" s="18" t="s">
        <v>160</v>
      </c>
      <c r="B9" s="18">
        <v>12</v>
      </c>
      <c r="C9" s="19" t="s">
        <v>168</v>
      </c>
    </row>
    <row r="10" spans="1:3" ht="75" x14ac:dyDescent="0.25">
      <c r="A10" s="18" t="s">
        <v>160</v>
      </c>
      <c r="B10" s="18">
        <v>13</v>
      </c>
      <c r="C10" s="19" t="s">
        <v>169</v>
      </c>
    </row>
    <row r="11" spans="1:3" ht="75" x14ac:dyDescent="0.25">
      <c r="A11" s="18" t="s">
        <v>160</v>
      </c>
      <c r="B11" s="18">
        <v>14</v>
      </c>
      <c r="C11" s="19" t="s">
        <v>170</v>
      </c>
    </row>
    <row r="12" spans="1:3" ht="75" x14ac:dyDescent="0.25">
      <c r="A12" s="18" t="s">
        <v>160</v>
      </c>
      <c r="B12" s="18">
        <v>15</v>
      </c>
      <c r="C12" s="19" t="s">
        <v>171</v>
      </c>
    </row>
    <row r="13" spans="1:3" ht="75" x14ac:dyDescent="0.25">
      <c r="A13" s="18" t="s">
        <v>160</v>
      </c>
      <c r="B13" s="18">
        <v>16</v>
      </c>
      <c r="C13" s="19" t="s">
        <v>172</v>
      </c>
    </row>
    <row r="14" spans="1:3" ht="75" x14ac:dyDescent="0.25">
      <c r="A14" s="18" t="s">
        <v>160</v>
      </c>
      <c r="B14" s="18">
        <v>17</v>
      </c>
      <c r="C14" s="19"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2022-04-28T21:23:10Z</dcterms:modified>
</cp:coreProperties>
</file>