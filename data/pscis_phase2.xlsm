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69D6980A-D91A-4D72-AF58-970924D2A36A}"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8" i="2"/>
  <c r="AM18" i="2"/>
  <c r="AL16" i="2"/>
  <c r="AM16" i="2"/>
  <c r="AL14" i="2"/>
  <c r="AM14" i="2" s="1"/>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<sst xmlns="http://schemas.openxmlformats.org/spreadsheetml/2006/main" count="293" uniqueCount="149">
  <si>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</si>
  <si>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</si>
  <si>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</si>
  <si>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</si>
  <si>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</si>
  <si>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</si>
  <si>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</si>
  <si>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</si>
  <si>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</si>
  <si>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</si>
  <si>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</si>
  <si>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</si>
  <si>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</si>
  <si>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</si>
  <si>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</si>
  <si>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</si>
  <si>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</si>
  <si>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</si>
  <si>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</si>
  <si>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</si>
  <si>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</si>
  <si>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</si>
  <si>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</si>
  <si>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</si>
  <si>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</si>
  <si>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</si>
  <si>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</si>
  <si>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</si>
  <si>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</si>
  <si>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</si>
  <si>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</si>
  <si>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</si>
  <si>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</si>
  <si>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</si>
  <si>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</si>
  <si>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</si>
  <si>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</si>
  <si>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</si>
  <si>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</si>
  <si>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</si>
  <si>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</si>
  <si>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</si>
  <si>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</si>
  <si>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</si>
  <si>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</si>
  <si>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</si>
  <si>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</si>
  <si>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</si>
  <si>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</si>
  <si>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</si>
  <si>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</si>
  <si>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</si>
  <si>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</si>
  <si>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</si>
  <si>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</si>
  <si>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</si>
  <si>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</si>
  <si>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</si>
  <si>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</si>
  <si>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</si>
  <si>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</si>
  <si>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</si>
  <si>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</si>
  <si>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</si>
  <si>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</si>
  <si>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</si>
  <si>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</si>
  <si>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</si>
  <si>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</si>
  <si>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</si>
  <si>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</si>
  <si>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</si>
  <si>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</si>
  <si>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</si>
  <si>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</si>
  <si>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</si>
  <si>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</si>
  <si>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</si>
  <si>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</si>
  <si>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</si>
  <si>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</si>
  <si>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</si>
  <si>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</si>
  <si>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</si>
  <si>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</si>
  <si>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</si>
  <si>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</si>
  <si>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</si>
  <si>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</si>
  <si>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</si>
  <si>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</si>
  <si>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</si>
  <si>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</si>
  <si>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</si>
  <si>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</si>
  <si>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</si>
  <si>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</si>
  <si>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</si>
  <si>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</si>
  <si>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</si>
  <si>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</si>
  <si>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</si>
  <si>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</si>
  <si>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</si>
  <si>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</si>
  <si>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</si>
  <si>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</si>
  <si>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</si>
  <si>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</si>
  <si>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</si>
  <si>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</si>
  <si>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</si>
  <si>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</si>
  <si>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</si>
  <si>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</si>
  <si>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</si>
  <si>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</si>
  <si>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</si>
  <si>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</si>
  <si>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</si>
  <si>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</si>
  <si>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</si>
  <si>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</si>
  <si>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</si>
  <si>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</si>
  <si>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</si>
  <si>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</si>
  <si>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</si>
  <si>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</si>
  <si>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</si>
  <si>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</si>
  <si>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</si>
  <si>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</si>
  <si>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</si>
  <si>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</si>
  <si>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</si>
  <si>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</si>
  <si>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</si>
  <si>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</si>
  <si>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</si>
  <si>
    <t>Two pipes (1.8m x 1.8m).  Stream left pipe embedd at outlet 0.6m but not at inlet and there is a significant inlet drop. PSCIS crossing 62182 is located ~30m upstream of the crossing under the railway. 12:50</t>
  </si>
  <si>
    <t>CP Railway</t>
  </si>
  <si>
    <t>Canadian Pacific</t>
  </si>
  <si>
    <t>Two pipes (1.8m x 1.8m). Left pipe was measured. Right pipe gradient ~3%.  Right pipe partially embedded. 14:16</t>
  </si>
  <si>
    <t>Replace with New Open Bottom Structure</t>
  </si>
  <si>
    <t>Replace Structure with Streambed Simulation CBS</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</si>
  <si>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Crossing fix has been updated from version submitted to PSCIS to reflect need for bridge and channel width upstream of modelled crossing 4606967. channel width also updated from 1.35 to 6.5 to reflect the measured stream channel width 2km upstream at the modeled crossing. 14:40</t>
  </si>
  <si>
    <t>Coal Creek Road</t>
  </si>
  <si>
    <t>Bean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</si>
</sst>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0" sqref="I10"/>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v>197786</v>
      </c>
      <c r="C5" s="116"/>
      <c r="D5" s="116" t="s">
        <v>92</v>
      </c>
      <c r="E5" s="77">
        <v>11</v>
      </c>
      <c r="F5" s="53">
        <v>665796.07904683799</v>
      </c>
      <c r="G5" s="51">
        <v>5462151.5333950697</v>
      </c>
      <c r="H5" s="11" t="s">
        <v>93</v>
      </c>
      <c r="I5" s="11" t="s">
        <v>94</v>
      </c>
      <c r="J5" s="104"/>
      <c r="K5" s="11" t="s">
        <v>134</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t="s">
        <v>144</v>
      </c>
      <c r="AO5" s="116">
        <v>12</v>
      </c>
      <c r="AP5" s="103" t="s">
        <v>101</v>
      </c>
    </row>
    <row r="6" spans="1:42" s="13" customFormat="1" x14ac:dyDescent="0.25">
      <c r="A6" s="117">
        <v>44406</v>
      </c>
      <c r="B6" s="112">
        <v>197787</v>
      </c>
      <c r="C6" s="116"/>
      <c r="D6" s="116" t="s">
        <v>92</v>
      </c>
      <c r="E6" s="77">
        <v>11</v>
      </c>
      <c r="F6" s="78">
        <v>664905.14723295497</v>
      </c>
      <c r="G6" s="79">
        <v>5462561.6500481497</v>
      </c>
      <c r="H6" s="116" t="s">
        <v>102</v>
      </c>
      <c r="I6" s="77" t="s">
        <v>94</v>
      </c>
      <c r="J6" s="104"/>
      <c r="K6" s="116" t="s">
        <v>134</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19</v>
      </c>
      <c r="AM6" s="16" t="str">
        <f t="shared" ref="AM6:AM67" si="7">IF(ISBLANK(L6), "", IF(L6 = "Open Bottom Structure", "Passable", IF(L6 = "Other", "Unknown", IF(AL6 &lt; 15, "Passable", IF(AND(AL6 &gt;= 15,AL6 &lt;= 19), "Potential", IF(AL6 &gt; 19, "Barrier", ""))))))</f>
        <v>Potential</v>
      </c>
      <c r="AN6" s="116" t="s">
        <v>144</v>
      </c>
      <c r="AO6" s="116">
        <v>12</v>
      </c>
      <c r="AP6" s="103" t="s">
        <v>103</v>
      </c>
    </row>
    <row r="7" spans="1:42" s="13" customFormat="1" x14ac:dyDescent="0.25">
      <c r="A7" s="117">
        <v>44407</v>
      </c>
      <c r="B7" s="112">
        <v>197793</v>
      </c>
      <c r="C7" s="116"/>
      <c r="D7" s="116" t="s">
        <v>92</v>
      </c>
      <c r="E7" s="77">
        <v>11</v>
      </c>
      <c r="F7" s="78">
        <v>650414.60798293003</v>
      </c>
      <c r="G7" s="79">
        <v>5463818.8277886296</v>
      </c>
      <c r="H7" s="116" t="s">
        <v>148</v>
      </c>
      <c r="I7" s="77" t="s">
        <v>104</v>
      </c>
      <c r="J7" s="104"/>
      <c r="K7" s="116" t="s">
        <v>134</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105</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t="s">
        <v>144</v>
      </c>
      <c r="AO7" s="116">
        <v>12</v>
      </c>
      <c r="AP7" s="116" t="s">
        <v>106</v>
      </c>
    </row>
    <row r="8" spans="1:42" s="13" customFormat="1" x14ac:dyDescent="0.25">
      <c r="A8" s="117">
        <v>44466</v>
      </c>
      <c r="B8" s="110">
        <v>197796</v>
      </c>
      <c r="C8" s="116"/>
      <c r="D8" s="116" t="s">
        <v>107</v>
      </c>
      <c r="E8" s="77">
        <v>11</v>
      </c>
      <c r="F8" s="78">
        <v>654301.67654856504</v>
      </c>
      <c r="G8" s="79">
        <v>5458678.3538345201</v>
      </c>
      <c r="H8" s="116" t="s">
        <v>108</v>
      </c>
      <c r="I8" s="77" t="s">
        <v>109</v>
      </c>
      <c r="J8" s="105"/>
      <c r="K8" s="108" t="s">
        <v>135</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105</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t="s">
        <v>144</v>
      </c>
      <c r="AO8" s="116">
        <v>12</v>
      </c>
      <c r="AP8" s="116" t="s">
        <v>110</v>
      </c>
    </row>
    <row r="9" spans="1:42" x14ac:dyDescent="0.25">
      <c r="A9" s="117">
        <v>44469</v>
      </c>
      <c r="B9" s="111">
        <v>50063</v>
      </c>
      <c r="C9" s="116"/>
      <c r="D9" s="116" t="s">
        <v>107</v>
      </c>
      <c r="E9" s="77">
        <v>11</v>
      </c>
      <c r="F9" s="78">
        <v>668960.50356336997</v>
      </c>
      <c r="G9" s="79">
        <v>5458806.4039871097</v>
      </c>
      <c r="H9" s="103" t="s">
        <v>111</v>
      </c>
      <c r="I9" s="77" t="s">
        <v>94</v>
      </c>
      <c r="J9" s="104"/>
      <c r="K9" s="108" t="s">
        <v>134</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t="s">
        <v>145</v>
      </c>
      <c r="AO9" s="116">
        <v>4.5</v>
      </c>
      <c r="AP9" s="116" t="s">
        <v>112</v>
      </c>
    </row>
    <row r="10" spans="1:42" x14ac:dyDescent="0.25">
      <c r="A10" s="117">
        <v>44482</v>
      </c>
      <c r="B10" s="111">
        <v>62505</v>
      </c>
      <c r="C10" s="116"/>
      <c r="D10" s="116" t="s">
        <v>113</v>
      </c>
      <c r="E10" s="77">
        <v>11</v>
      </c>
      <c r="F10" s="78">
        <v>636941.86356810795</v>
      </c>
      <c r="G10" s="79">
        <v>5483777.3498547804</v>
      </c>
      <c r="H10" s="103" t="s">
        <v>114</v>
      </c>
      <c r="I10" s="77" t="s">
        <v>115</v>
      </c>
      <c r="J10" s="104"/>
      <c r="K10" s="116" t="s">
        <v>136</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t="s">
        <v>144</v>
      </c>
      <c r="AO10" s="114">
        <v>12</v>
      </c>
      <c r="AP10" s="116" t="s">
        <v>119</v>
      </c>
    </row>
    <row r="11" spans="1:42" x14ac:dyDescent="0.25">
      <c r="A11" s="117">
        <v>44468</v>
      </c>
      <c r="B11" s="111">
        <v>62182</v>
      </c>
      <c r="C11" s="103"/>
      <c r="D11" s="115" t="s">
        <v>116</v>
      </c>
      <c r="E11" s="115">
        <v>11</v>
      </c>
      <c r="F11" s="107">
        <v>656390.04899583606</v>
      </c>
      <c r="G11" s="106">
        <v>5544771.0183467604</v>
      </c>
      <c r="H11" s="103" t="s">
        <v>117</v>
      </c>
      <c r="I11" s="77" t="s">
        <v>118</v>
      </c>
      <c r="J11" s="104"/>
      <c r="K11" s="115" t="s">
        <v>137</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144</v>
      </c>
      <c r="AO11" s="116">
        <v>12</v>
      </c>
      <c r="AP11" s="116" t="s">
        <v>140</v>
      </c>
    </row>
    <row r="12" spans="1:42" ht="30" x14ac:dyDescent="0.25">
      <c r="A12" s="117">
        <v>44469</v>
      </c>
      <c r="B12" s="73">
        <v>50061</v>
      </c>
      <c r="C12" s="25"/>
      <c r="D12" s="25" t="s">
        <v>116</v>
      </c>
      <c r="E12" s="77">
        <v>11</v>
      </c>
      <c r="F12" s="78">
        <v>667651.179226915</v>
      </c>
      <c r="G12" s="79">
        <v>5459222.8867470501</v>
      </c>
      <c r="H12" s="77" t="s">
        <v>120</v>
      </c>
      <c r="I12" s="77" t="s">
        <v>94</v>
      </c>
      <c r="J12" s="42"/>
      <c r="K12" s="77" t="s">
        <v>134</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t="s">
        <v>144</v>
      </c>
      <c r="AO12" s="114">
        <v>12</v>
      </c>
      <c r="AP12" s="25" t="s">
        <v>125</v>
      </c>
    </row>
    <row r="13" spans="1:42" ht="30" x14ac:dyDescent="0.25">
      <c r="A13" s="82">
        <v>44473</v>
      </c>
      <c r="B13" s="76">
        <v>62122</v>
      </c>
      <c r="C13" s="25"/>
      <c r="D13" s="25" t="s">
        <v>116</v>
      </c>
      <c r="E13" s="77">
        <v>11</v>
      </c>
      <c r="F13" s="78">
        <v>676913.10692922794</v>
      </c>
      <c r="G13" s="79">
        <v>5459598.0572218401</v>
      </c>
      <c r="H13" s="77" t="s">
        <v>121</v>
      </c>
      <c r="I13" s="77" t="s">
        <v>122</v>
      </c>
      <c r="J13" s="80"/>
      <c r="K13" s="77" t="s">
        <v>138</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t="s">
        <v>145</v>
      </c>
      <c r="AO13" s="114">
        <v>3</v>
      </c>
      <c r="AP13" s="25" t="s">
        <v>126</v>
      </c>
    </row>
    <row r="14" spans="1:42" ht="30" x14ac:dyDescent="0.25">
      <c r="A14" s="82">
        <v>44473</v>
      </c>
      <c r="B14" s="76">
        <v>50067</v>
      </c>
      <c r="C14" s="25"/>
      <c r="D14" s="25" t="s">
        <v>116</v>
      </c>
      <c r="E14" s="77">
        <v>11</v>
      </c>
      <c r="F14" s="78">
        <v>679597.23479151202</v>
      </c>
      <c r="G14" s="79">
        <v>5453755.7910095202</v>
      </c>
      <c r="H14" s="77" t="s">
        <v>123</v>
      </c>
      <c r="I14" s="77" t="s">
        <v>122</v>
      </c>
      <c r="J14" s="80"/>
      <c r="K14" s="77" t="s">
        <v>138</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5.2</v>
      </c>
      <c r="AA14" s="116">
        <v>1.5</v>
      </c>
      <c r="AB14" s="25" t="s">
        <v>98</v>
      </c>
      <c r="AC14" s="25" t="s">
        <v>97</v>
      </c>
      <c r="AD14" s="116" t="s">
        <v>99</v>
      </c>
      <c r="AE14" s="116" t="s">
        <v>124</v>
      </c>
      <c r="AF14" s="22">
        <f t="shared" si="8"/>
        <v>8.6666666666666679</v>
      </c>
      <c r="AG14" s="15">
        <f t="shared" si="1"/>
        <v>0</v>
      </c>
      <c r="AH14" s="7">
        <f t="shared" si="2"/>
        <v>10</v>
      </c>
      <c r="AI14" s="7">
        <f t="shared" si="3"/>
        <v>0</v>
      </c>
      <c r="AJ14" s="7">
        <f t="shared" si="4"/>
        <v>10</v>
      </c>
      <c r="AK14" s="12">
        <f t="shared" si="5"/>
        <v>6</v>
      </c>
      <c r="AL14" s="14">
        <f t="shared" si="9"/>
        <v>26</v>
      </c>
      <c r="AM14" s="16" t="str">
        <f t="shared" si="7"/>
        <v>Barrier</v>
      </c>
      <c r="AN14" s="116" t="s">
        <v>144</v>
      </c>
      <c r="AO14" s="114">
        <v>12</v>
      </c>
      <c r="AP14" s="25" t="s">
        <v>146</v>
      </c>
    </row>
    <row r="15" spans="1:42" ht="30" x14ac:dyDescent="0.25">
      <c r="A15" s="82">
        <v>44467</v>
      </c>
      <c r="B15" s="76">
        <v>197844</v>
      </c>
      <c r="C15" s="25"/>
      <c r="D15" s="25" t="s">
        <v>116</v>
      </c>
      <c r="E15" s="77">
        <v>11</v>
      </c>
      <c r="F15" s="78">
        <v>657919.70857006696</v>
      </c>
      <c r="G15" s="79">
        <v>5452801.6807500403</v>
      </c>
      <c r="H15" s="77" t="s">
        <v>127</v>
      </c>
      <c r="I15" s="77" t="s">
        <v>128</v>
      </c>
      <c r="J15" s="80"/>
      <c r="K15" s="77" t="s">
        <v>134</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t="s">
        <v>144</v>
      </c>
      <c r="AO15" s="114">
        <v>12</v>
      </c>
      <c r="AP15" s="25" t="s">
        <v>129</v>
      </c>
    </row>
    <row r="16" spans="1:42" x14ac:dyDescent="0.25">
      <c r="A16" s="82">
        <v>44473</v>
      </c>
      <c r="B16" s="76">
        <v>61504</v>
      </c>
      <c r="C16" s="25"/>
      <c r="D16" s="25" t="s">
        <v>116</v>
      </c>
      <c r="E16" s="77">
        <v>11</v>
      </c>
      <c r="F16" s="78">
        <v>645312.87165317801</v>
      </c>
      <c r="G16" s="79">
        <v>5483687.2708809497</v>
      </c>
      <c r="H16" s="77" t="s">
        <v>130</v>
      </c>
      <c r="I16" s="77" t="s">
        <v>147</v>
      </c>
      <c r="J16" s="80"/>
      <c r="K16" s="77" t="s">
        <v>139</v>
      </c>
      <c r="L16" s="25" t="s">
        <v>131</v>
      </c>
      <c r="M16" s="25" t="s">
        <v>132</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133</v>
      </c>
    </row>
    <row r="17" spans="1:42" ht="30" x14ac:dyDescent="0.25">
      <c r="A17" s="82">
        <v>44468</v>
      </c>
      <c r="B17" s="76">
        <v>62181</v>
      </c>
      <c r="C17" s="25"/>
      <c r="D17" s="25" t="s">
        <v>116</v>
      </c>
      <c r="E17" s="77">
        <v>11</v>
      </c>
      <c r="F17" s="78">
        <v>656409</v>
      </c>
      <c r="G17" s="79">
        <v>5544755</v>
      </c>
      <c r="H17" s="77" t="s">
        <v>117</v>
      </c>
      <c r="I17" s="77" t="s">
        <v>141</v>
      </c>
      <c r="J17" s="80"/>
      <c r="K17" s="77" t="s">
        <v>142</v>
      </c>
      <c r="L17" s="25" t="s">
        <v>95</v>
      </c>
      <c r="M17" s="25" t="s">
        <v>96</v>
      </c>
      <c r="N17" s="114">
        <v>1.8</v>
      </c>
      <c r="O17" s="114">
        <v>17</v>
      </c>
      <c r="P17" s="116" t="s">
        <v>98</v>
      </c>
      <c r="Q17" s="114">
        <v>0.35</v>
      </c>
      <c r="R17" s="116" t="s">
        <v>98</v>
      </c>
      <c r="S17" s="116" t="s">
        <v>97</v>
      </c>
      <c r="T17" s="121"/>
      <c r="U17" s="114">
        <v>1.2</v>
      </c>
      <c r="V17" s="116">
        <v>0</v>
      </c>
      <c r="W17" s="114">
        <v>0</v>
      </c>
      <c r="X17" s="116" t="s">
        <v>98</v>
      </c>
      <c r="Y17" s="114">
        <v>2.6</v>
      </c>
      <c r="Z17" s="114">
        <v>3.7</v>
      </c>
      <c r="AA17" s="116">
        <v>3.3</v>
      </c>
      <c r="AB17" s="25" t="s">
        <v>97</v>
      </c>
      <c r="AC17" s="25" t="s">
        <v>97</v>
      </c>
      <c r="AD17" s="116" t="s">
        <v>99</v>
      </c>
      <c r="AE17" s="116" t="s">
        <v>100</v>
      </c>
      <c r="AF17" s="22">
        <f t="shared" si="8"/>
        <v>2.0555555555555558</v>
      </c>
      <c r="AG17" s="15">
        <f t="shared" si="1"/>
        <v>3</v>
      </c>
      <c r="AH17" s="7">
        <f t="shared" si="2"/>
        <v>5</v>
      </c>
      <c r="AI17" s="7">
        <f t="shared" si="3"/>
        <v>0</v>
      </c>
      <c r="AJ17" s="7">
        <f t="shared" si="4"/>
        <v>5</v>
      </c>
      <c r="AK17" s="12">
        <f t="shared" si="5"/>
        <v>6</v>
      </c>
      <c r="AL17" s="14">
        <f t="shared" si="9"/>
        <v>19</v>
      </c>
      <c r="AM17" s="16" t="str">
        <f t="shared" si="7"/>
        <v>Potential</v>
      </c>
      <c r="AN17" s="116" t="s">
        <v>144</v>
      </c>
      <c r="AO17" s="114">
        <v>12</v>
      </c>
      <c r="AP17" s="25" t="s">
        <v>143</v>
      </c>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BdyfYiAz9/ap2H/0I2fR9n3ico0E671DjlMixgWuYwnmBaeXJu9U1HdIoeecx7mKYrF0PEkED1fyyW3mXD8CKw==" saltValue="ZG3+hyXJfzqlM8rq7CCfBw==" spinCount="100000" sheet="1" objects="1" scenarios="1"/>
  <dataConsolidate/>
  <conditionalFormatting sqref="AO12:AO13 AO15:AO65536">
    <cfRule type="cellIs" priority="214" stopIfTrue="1" operator="lessThan">
      <formula>0</formula>
    </cfRule>
  </conditionalFormatting>
  <conditionalFormatting sqref="AF6:AF4998 AF5284:AF65536">
    <cfRule type="cellIs" dxfId="2" priority="202" stopIfTrue="1" operator="greaterThan">
      <formula>9999999999</formula>
    </cfRule>
  </conditionalFormatting>
  <conditionalFormatting sqref="AF4999:AF5283">
    <cfRule type="cellIs" dxfId="1" priority="16" stopIfTrue="1" operator="greaterThan">
      <formula>9999999999</formula>
    </cfRule>
  </conditionalFormatting>
  <conditionalFormatting sqref="AO6:AO11">
    <cfRule type="cellIs" priority="4" stopIfTrue="1" operator="lessThan">
      <formula>0</formula>
    </cfRule>
  </conditionalFormatting>
  <conditionalFormatting sqref="AO5">
    <cfRule type="cellIs" priority="3" stopIfTrue="1" operator="lessThan">
      <formula>0</formula>
    </cfRule>
  </conditionalFormatting>
  <conditionalFormatting sqref="AF5">
    <cfRule type="cellIs" dxfId="0" priority="2" stopIfTrue="1" operator="greaterThan">
      <formula>9999999999</formula>
    </cfRule>
  </conditionalFormatting>
  <conditionalFormatting sqref="AO14">
    <cfRule type="cellIs" priority="1" stopIfTrue="1" operator="lessThan">
      <formula>0</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5 Q9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M17"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N17"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Q17"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2022-03-04T21:59:38Z</dcterms:modified>
</cp:coreProperties>
</file>